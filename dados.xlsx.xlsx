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expresso-my.sharepoint.com/personal/giovani_santos_expressotaubate_com_br/Documents/Área de Trabalho/Gerenciadora de Risco/"/>
    </mc:Choice>
  </mc:AlternateContent>
  <xr:revisionPtr revIDLastSave="29" documentId="8_{AA268EB4-BFF2-45A0-8514-2B540E731685}" xr6:coauthVersionLast="47" xr6:coauthVersionMax="47" xr10:uidLastSave="{2D77590A-B8C6-494D-BC62-2B3076C8C2D6}"/>
  <bookViews>
    <workbookView xWindow="-120" yWindow="-120" windowWidth="29040" windowHeight="15720" xr2:uid="{00000000-000D-0000-FFFF-FFFF00000000}"/>
  </bookViews>
  <sheets>
    <sheet name="Seguradoras" sheetId="2" r:id="rId1"/>
    <sheet name="Planilha1" sheetId="3" r:id="rId2"/>
  </sheets>
  <definedNames>
    <definedName name="_xlnm._FilterDatabase" localSheetId="0" hidden="1">Seguradoras!$A$1:$H$1691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8" i="2" l="1"/>
  <c r="D116" i="2"/>
  <c r="D115" i="2"/>
  <c r="D107" i="2"/>
  <c r="D106" i="2"/>
  <c r="D105" i="2"/>
  <c r="D104" i="2"/>
  <c r="D87" i="2"/>
  <c r="D85" i="2"/>
  <c r="D1674" i="2"/>
  <c r="D1669" i="2"/>
  <c r="D1668" i="2"/>
  <c r="D1667" i="2"/>
  <c r="D1657" i="2"/>
  <c r="D1656" i="2"/>
  <c r="D1635" i="2"/>
  <c r="D1633" i="2"/>
  <c r="D1632" i="2"/>
  <c r="D1628" i="2"/>
  <c r="D1626" i="2"/>
  <c r="D1599" i="2"/>
  <c r="D1589" i="2"/>
  <c r="D1588" i="2"/>
  <c r="D1587" i="2"/>
  <c r="D1586" i="2"/>
  <c r="D1585" i="2"/>
  <c r="D1584" i="2"/>
  <c r="D1583" i="2"/>
  <c r="D1582" i="2"/>
  <c r="D1525" i="2"/>
  <c r="D1524" i="2"/>
  <c r="D1523" i="2"/>
  <c r="D1522" i="2"/>
  <c r="D1521" i="2"/>
  <c r="D1520" i="2"/>
  <c r="D1510" i="2"/>
  <c r="D1509" i="2"/>
  <c r="D1508" i="2"/>
  <c r="D1434" i="2"/>
  <c r="D1433" i="2"/>
  <c r="D1432" i="2"/>
  <c r="D1430" i="2"/>
  <c r="D1429" i="2"/>
  <c r="D1419" i="2"/>
  <c r="D1279" i="2"/>
  <c r="D1278" i="2"/>
  <c r="D1277" i="2"/>
  <c r="D1215" i="2"/>
  <c r="D1214" i="2"/>
  <c r="D1183" i="2"/>
  <c r="D1182" i="2"/>
  <c r="D1181" i="2"/>
  <c r="D1074" i="2"/>
  <c r="D1062" i="2"/>
  <c r="D1060" i="2"/>
  <c r="D1059" i="2"/>
  <c r="D1019" i="2"/>
  <c r="D992" i="2"/>
  <c r="D948" i="2"/>
  <c r="D947" i="2"/>
  <c r="D941" i="2"/>
  <c r="D939" i="2"/>
  <c r="D935" i="2"/>
  <c r="D934" i="2"/>
  <c r="D912" i="2"/>
  <c r="D809" i="2"/>
  <c r="D808" i="2"/>
  <c r="D807" i="2"/>
  <c r="D806" i="2"/>
  <c r="D804" i="2"/>
  <c r="D801" i="2"/>
  <c r="D791" i="2"/>
  <c r="D659" i="2"/>
  <c r="D658" i="2"/>
  <c r="D631" i="2"/>
  <c r="D563" i="2"/>
  <c r="D562" i="2"/>
  <c r="D561" i="2"/>
  <c r="D560" i="2"/>
  <c r="D559" i="2"/>
  <c r="D519" i="2"/>
  <c r="D518" i="2"/>
  <c r="D484" i="2"/>
  <c r="D480" i="2"/>
  <c r="D478" i="2"/>
  <c r="D474" i="2"/>
  <c r="D471" i="2"/>
  <c r="D470" i="2"/>
  <c r="D468" i="2"/>
  <c r="D466" i="2"/>
  <c r="D463" i="2"/>
</calcChain>
</file>

<file path=xl/sharedStrings.xml><?xml version="1.0" encoding="utf-8"?>
<sst xmlns="http://schemas.openxmlformats.org/spreadsheetml/2006/main" count="10131" uniqueCount="3419">
  <si>
    <t>EMISSÃO</t>
  </si>
  <si>
    <t>VALOR</t>
  </si>
  <si>
    <t>NATUREZA</t>
  </si>
  <si>
    <t>TIPO</t>
  </si>
  <si>
    <t>COMENTÁRIO</t>
  </si>
  <si>
    <t>REEMBOLSO AGREGADO</t>
  </si>
  <si>
    <t>Débito</t>
  </si>
  <si>
    <t>ROBERTO VIRGOLINO DE FARIAS</t>
  </si>
  <si>
    <t>MOTORISTA</t>
  </si>
  <si>
    <t>VEICULO</t>
  </si>
  <si>
    <t>OPERAÇÃO</t>
  </si>
  <si>
    <t>RAFAEL OLIVEIRA DOS SANTOS - RJ</t>
  </si>
  <si>
    <t>REEMBOLSO GER RISCO</t>
  </si>
  <si>
    <t>REF. A TRÊS ITENS PESQ. COMBO EXPRESSA RASTER 6972396 - CAVALO CZC8D80 - MOT. RAFAEL OLIVEIRA DOS SANTOS - RJ - SOLIC. POR THIAGO TICKET 193675 - DIA 27-03-26</t>
  </si>
  <si>
    <t>JOSE AIRTON DE LIMA</t>
  </si>
  <si>
    <t>EDUARDO JESUS TOMAZINHO</t>
  </si>
  <si>
    <t>REF. A UMA RDO UMA PESQUISA CONJUNTO OPENTECH - CAVALO OLV7F75 - MOT. EDUARDO JESUS TOMAZINHO - SOLC. POR DEBORA  - TICKET 193676 - DIA 27-03-2026</t>
  </si>
  <si>
    <t>BRUNO ALVES FERREIRA</t>
  </si>
  <si>
    <t>REF. AO FRETE PAGO A MAIOR NO MANIFESTO 888894 - CAVALO IMF0H16 - MOT. BRUNO ALVES FERREIRA - SOLIC. POR RENAN VIA E-MAIL DIA 25-03-26</t>
  </si>
  <si>
    <t>COOTRANSCRIL</t>
  </si>
  <si>
    <t>REF. A TRÊS PESQUISAS AVULSA NORMAL RASTER 6971518 - CAVALO LZV2701 MOT. JOSE SOUZA DE MOURA SOLC. POR JOÃO VICTOR TICKET 193678- DIA 27-03-2026</t>
  </si>
  <si>
    <t>AMJ TRANSPORTES</t>
  </si>
  <si>
    <t>REF. A UMA RDO UMA PESQUISA CONJUNTO OPENTECH - CAVALO BWT2D98 - MOT. ALYSON FERNANDO DE OLIVEIRA CARVALHO - SOLC. POR DEBORA  - TICKET 193685 - DIA 27-03-2026</t>
  </si>
  <si>
    <t>TRANSMAQUINA S.A.</t>
  </si>
  <si>
    <t>REF. A TRÊS RDO RASTER 6965799 - CAVALO RQM6J25 MOT. RONALDO OLIVEIRA JUNIOR SOLC. POR MARCELO TICKET 193682- DIA 27-03-2026</t>
  </si>
  <si>
    <t>TRANSPORTO</t>
  </si>
  <si>
    <t>REF. A DUAS CONSULTAS RASTER 6974491 - CAVALO IGQ2977 MOT. NILSON ROSA BOM  SOLC. POR SANDRO TICKET 193696- DIA 27-03-2026</t>
  </si>
  <si>
    <t>BRUNA LUIZA FERREIRA LAPA DE OLIVEIRA</t>
  </si>
  <si>
    <t>REF. A UMA LIBERAÇÃO DE AUTONOMO SKYMARK 3816002 - CAVALO FRW9C15 - MOT. PAULO ALBUQUERQUE DA COSTA - SOLC. POR MATHEUS - TICKET 193697 - DIA 27-03-2026</t>
  </si>
  <si>
    <t>CLAUDIO JOSE DE SOUZA</t>
  </si>
  <si>
    <t>REF. A TRÊS CONSULTAS RASTER 6975368 - CAVALO CPR2F80 MOT. CLAUDIO JOSE DE SOUZA SOLC. POR MARCELO TICKET 193703- DIA 27-03-2026</t>
  </si>
  <si>
    <t>Manual</t>
  </si>
  <si>
    <t>CPR2F80</t>
  </si>
  <si>
    <t>Avulso</t>
  </si>
  <si>
    <t>CARLOS ALBERTO LOPES - 707.977</t>
  </si>
  <si>
    <t>REFERENTE A 3 PESQUISAS 1 EXPRESSA 2 NORMAL COMBO RASTER Nº 6976297 - SOLICITAÇÃO FRANCISCO - TICKET Nº 193711 - MOT. CARLOS ALBERTO LOPES - 707.977</t>
  </si>
  <si>
    <t>ROBERTO CARLOS PIVATTO PICANCO</t>
  </si>
  <si>
    <t>REFERENTE A 3 PESQUISAS 2 EXPRESSAS 1 NORMAL COMBO RASTER Nº 6976308 - SOLICITAÇÃO FRANCISCO - TICKET Nº 193712 - MOT. ROBERTO CARLOS PIVATTO PICANCO</t>
  </si>
  <si>
    <t>ROMULO CESAR DE ALMEIDA MELO</t>
  </si>
  <si>
    <t>REFERENTE A 2 PESQUISAS EXPRESSAS COMBO RASTER Nº 6975330 - SOLICITAÇÃO FRANCISCO - TICKET Nº 193713 - MOT. RAFAEL AUGUSTO DE ALMEIDA MELO</t>
  </si>
  <si>
    <t>TRANSFOGUINHO TRANSPORTES LTDA.</t>
  </si>
  <si>
    <t>REFERENTE A PESQUISA SKYMARK Nº 3817085 -- SOLICITAÇÃO JEAN - TICKET Nº 193722 - MOT. DOUGLAS TADEU WRASSE</t>
  </si>
  <si>
    <t>EDSON MIRANDA DE CARVALHO</t>
  </si>
  <si>
    <t>REFERENTE A 2 CONSULAS RASTER Nº 6985723 - SOLICITAÇÃO JOÃO PEDRO - TICKET Nº 193728 - MOT. CHRISTIAN HEBERT SOUZA CARVALHO</t>
  </si>
  <si>
    <t>ANTONIO VICENTE DA SILVA MQI</t>
  </si>
  <si>
    <t>REFERENTE A 3 CONSULTAS RASTER Nº 6995064 - SOLICITAÇÃO MATHEUS - TICKET Nº 193732 - MOT. ANTONIO VICENTE DA SILVA MQI</t>
  </si>
  <si>
    <t>T B TEIXEIRA E CIA LTDA</t>
  </si>
  <si>
    <t>REFERENTE A 3 CONSULTAS RASTER Nº 6995079 - SOLICITAÇÃO FERANANDA - TICKET Nº 193733 - MOT. ELIVELTO DA SILVA ALVES</t>
  </si>
  <si>
    <t>TRANSPORTES TAPPARO LTDA</t>
  </si>
  <si>
    <t>REFERENTE A 3 CONSULTAS RASTER Nº 6995124 - SOLICITAÇÃO FERNANDA - TICKET Nº 193734 - MOT. SIDNEY RIBEIRO-05239971919</t>
  </si>
  <si>
    <t>TRANSFERE-TRANSPORTES NACIONAIS E INTERNACIONAIS L</t>
  </si>
  <si>
    <t>REFERENTE A 2 CONSULTAS RASTER Nº 6995160 - SOLICITAÇÃO SANDRO - TICKET Nº 193738 - MOT. HEBER RODRIGUEZ MUNIZ</t>
  </si>
  <si>
    <t>REFERENTE A 3 CONSULTAS RASTER Nº 6995272 - SOLICITAÇÃO FERNANDA - TICKET Nº  193740 - MOT. RODRIGO SCHWANTES</t>
  </si>
  <si>
    <t>ANTONIO JULIO DE OLIVEIRA</t>
  </si>
  <si>
    <t>REFERENTE A CONSULTA SKYMARK Nº 3818627 - SOLICITAÇÃO ALESSANDRO - TICKET Nº 193739 - MOT. LEONARDO VIEIRA DA SILVA</t>
  </si>
  <si>
    <t xml:space="preserve">FABIANO ROSA </t>
  </si>
  <si>
    <t>MTF3F60</t>
  </si>
  <si>
    <t>REFERENTE A 4 PESQUISAS EXPRESSAS COMBO RASTER Nº 6995408 - SOLICITAÇÃO DEBORA - TICKET Nº 193743 - MOT. FABIANO DA ROSA</t>
  </si>
  <si>
    <t xml:space="preserve">LUIS ANTONIO MENDES SANTOS </t>
  </si>
  <si>
    <t>RXY3D93</t>
  </si>
  <si>
    <t xml:space="preserve">REFERENTE A 3 PESQUISAS EXPRESSA COMBO RASTER Nº 6995635 - SOLICITAÇÃO DEBORA - TICKET Nº 193747 - MOT. LUIS ANTONIO MENDES SANTOS </t>
  </si>
  <si>
    <t>LUCAS FERREIRA VALETIM</t>
  </si>
  <si>
    <t>MJE9A41</t>
  </si>
  <si>
    <t xml:space="preserve">REFERENTE A CONSULTA SKYMARK Nº  3818959 - SOLICITAÇÃO ALESSANDRO - TICKET Nº 193750 - MOT. LUCAS FERREIRA VALENTIM </t>
  </si>
  <si>
    <t>WELLINGTON MOREIRA NOVAIS</t>
  </si>
  <si>
    <t>RYT3C86</t>
  </si>
  <si>
    <t>REFERENTE A 3 PESQUISAS EXPRESSA COMBO RASTER Nº 6995770 - SOLICITAÇÃO DEBORA - TICKET Nº 193751 - MOT. WELLINGTON MOREIRA NOVAIS</t>
  </si>
  <si>
    <t>ANDERSON LEANDRO RAPHAELLI</t>
  </si>
  <si>
    <t>DHE7F65</t>
  </si>
  <si>
    <t>REFERENTE A 3 CONSULTAS RASTER Nº 6996590 - SOLICITAÇÃO DEBORA - TICKET Nº 193755 - MOT. ANDERSON LEANDRO RAPHAELLI</t>
  </si>
  <si>
    <t>JULIO CESAR VIEIRA JUNIOR</t>
  </si>
  <si>
    <t>LKJ3495</t>
  </si>
  <si>
    <t>REFERENTE A 3 CONSULTAS RASTER Nº 6996826 - SOLICITAÇÃO THIAGO - TICKET Nº 193756 - MOT. JULIO CESAR VIEIRA JUNIOR</t>
  </si>
  <si>
    <t>RODRIGO SCHWANTES</t>
  </si>
  <si>
    <t>IRA2G99</t>
  </si>
  <si>
    <t xml:space="preserve">REFERENTE A 2 CONSULTAS 1 PESQUISA AVULSA NORMAL RASTER Nº 6995213 - SOLICITAÇÃO GABRIEL  - TICKET Nº 193759 - MOT. RODRIGO SCHWANTES </t>
  </si>
  <si>
    <t>EDSON DOMICIANO DE MOURA</t>
  </si>
  <si>
    <t>JDG9D21</t>
  </si>
  <si>
    <t>REFERENTE A 4 PESQUISAS AVULSAS NORMAL RASTER Nº 6974695 - SOLICITAÇÃO VITOR - TICKET Nº 193760  - MOT. EDSON DOMICIANO DE MOURA</t>
  </si>
  <si>
    <t>PAULO REUS ALMEIDA DOS SANTOS</t>
  </si>
  <si>
    <t>HBG6H62</t>
  </si>
  <si>
    <t>REF. A UMA RDO TRÊS PESQUISAS COMBO EXPRESSA RASTER 6996126 - CAVALO HBG6H62 MOT. PAULO REUS ALMEIDA DOS SANTOS SOLC. POR DEBORA TICKET 193771- DIA 30-03-2026</t>
  </si>
  <si>
    <t>WENDELL PEREIRA DO CARMO</t>
  </si>
  <si>
    <t>TCM8F65</t>
  </si>
  <si>
    <t>REFERENTE A CONSULTA SKYMARK Nº 3819717 (CONJUNTO/MOT) - SOLICITAÇÃO CHRISTIAN - TICKET Nº 193772 - MOT.  WENDELL PEREIRA DO CARMO</t>
  </si>
  <si>
    <t>MARIO PEREIRA DA SILVA</t>
  </si>
  <si>
    <t>TEH8D12</t>
  </si>
  <si>
    <t>REF. A DUAS PESQUISAS PESSOA E DUAS PESQUISAS VEICULO SKYMARK 3819764 - CAVALO TEH8D12 - MOT. MARIO PEREIRA DA SILVA - SOLC. POR CHRISTIAN - TICKET 193773 - DIA 30-03-2026</t>
  </si>
  <si>
    <t>JONAS DA SILVA CUNHA</t>
  </si>
  <si>
    <t>TTH8H94</t>
  </si>
  <si>
    <t>REF. A UMA RDO UMA PESQUISAS AVULSA NORMAL RASTER6997125 - CAVALO TTH8H94 MOT. JONAS DA SILVA CUNHA  SOLC. POR UELDER TICKET 193777- DIA 30-03-2026</t>
  </si>
  <si>
    <t>HUMBERTO LUIS HILLE</t>
  </si>
  <si>
    <t>RYL2H78</t>
  </si>
  <si>
    <t>REF. A TRÊS CONSULTAS RASTER 6999622 - CAVALO RYL2H78 MOT. HUMBERTO LUIS HILLE  SOLC. POR DEBORA  TICKET 193778- DIA 30-03-2026</t>
  </si>
  <si>
    <t>MARCOS ROBERTO BILATTO</t>
  </si>
  <si>
    <t>AVD9A36</t>
  </si>
  <si>
    <t>REF. A UMA CONSULTA CONJUNTO OPENTECH - CAVALO AVD9A36 - MOT. MARCOS ROBRTO BILATTO - SOLC. POR DEBORA  - TICKET 193780 - DIA 30-03-2026</t>
  </si>
  <si>
    <t>ALEXSANDRO VENANCIO SOUZA</t>
  </si>
  <si>
    <t>SEX1D03</t>
  </si>
  <si>
    <t>REF. A DUAS LIBERAÇÃO AUTONOMA SKYMARK 3821029 - CAVALO SJB9D52 - MOT. ALEXSANDRO VENANCIO SOUZA - SOLC. POR VALNEI - TICKET 193792 - DIA 30-03-2026</t>
  </si>
  <si>
    <t>FABIANO FERREIRA SOARES</t>
  </si>
  <si>
    <t>MQZ8A29</t>
  </si>
  <si>
    <t>REF. A DUAS PESQUISAS COMBO EXPRESSA RASTER 7000299 - CAVALO MQZ8A29 MOT. FABIANO FERREIRA SOARES SOLC. POR THIAGO  TICKET 193798- DIA 30-03-2026</t>
  </si>
  <si>
    <t>REF. A TRÊS CONSULTAS RASTER 7001519 - CAVALO CPR2F80 MOT. CLAUDIO JOSE DE SOUZA  SOLC. POR MARCELO TICKET 193801- DIA 30-03-2026</t>
  </si>
  <si>
    <t>WEMERSON GUSTAVO MATOZO</t>
  </si>
  <si>
    <t>RTS9D01</t>
  </si>
  <si>
    <t>REF. A UMA LIBERAÇÃO AUTONOMA SKYMARK 3821411 - CAVALO RTS9D01 - MOT.  WEMERSON GUSTAVO MATOZO - SOLC. POR VALNEI - TICKET 193808 - DIA 30-03-2026</t>
  </si>
  <si>
    <t>RONALDO MOREIRA DUARTE</t>
  </si>
  <si>
    <t>AZJ8D51</t>
  </si>
  <si>
    <t>GERALDO LUCAS TEIXEIRA</t>
  </si>
  <si>
    <t>MTZ5G40</t>
  </si>
  <si>
    <t>REF. A TRÊS PESQUISAS COMBO EXPRESSA RASTER 7000225 - CAVALO MTZ5G40 MOT.GERALDO LUCAS TEIXEIRA  SOLC. POR FRANCISCO TICKET 193818- DIA 30-03-2026</t>
  </si>
  <si>
    <t>DERALDO RODRIGUES PEREIRA</t>
  </si>
  <si>
    <t>FYJ4H33</t>
  </si>
  <si>
    <t>REF. A TRÊS PESQUISAS COMBO EXPRESSA RASTER 6996288 - CAVALO FYJ4H33 MOT.DERALDO RODRIGUES PEREIRA SOLC. POR FRANCISCO TICKET 193819- DIA 30-03-2026</t>
  </si>
  <si>
    <t>JULIANO DA SILVA DE OLIVEIRA</t>
  </si>
  <si>
    <t>TCA2J86</t>
  </si>
  <si>
    <t>06.10</t>
  </si>
  <si>
    <t>REFERENTE A CONSULTA SKYMARK Nº 3821657 - SOLICITAÇÃO ROBERTA - TICKET Nº 193823 - MOT. JULIANO DA SILVA DE OLIVEIRA</t>
  </si>
  <si>
    <t>LEANDRO REIS ALBANO</t>
  </si>
  <si>
    <t>DVS1223</t>
  </si>
  <si>
    <t>04.22</t>
  </si>
  <si>
    <t>REFERENTE A 1 PESQUISA NORMAL E 1 PESQUISA EXPRESSA COMBO RASTER  - TICKET Nº 193824 - MOT. LEANDRO REIS ALBANO</t>
  </si>
  <si>
    <t>MQI7965</t>
  </si>
  <si>
    <t>06.01</t>
  </si>
  <si>
    <t xml:space="preserve">REFERENTE A 3 CONSULTAS RASTER Nº  7008554 - SOLICITAÇÃO MATHEUS - TICKET Nº 193828 - MOT. ANTONIO VICENTE DA SILVA MQI </t>
  </si>
  <si>
    <t>MAICON PIRES FERREIRA</t>
  </si>
  <si>
    <t>JZT2J03</t>
  </si>
  <si>
    <t>05.01</t>
  </si>
  <si>
    <t>REFERENTE A CONSULTA OPENTECH (CIONJUNTO/MOT) - SOLICITAÇÃO DEBORA - TICKET Nº 193833 - MOT. MAICON PIRES FERREIRA</t>
  </si>
  <si>
    <t>ALFREDO GOMES SALATIEL</t>
  </si>
  <si>
    <t>GKO1409</t>
  </si>
  <si>
    <t>REFERENTE A CONSULTA BUONNY Nº 659784945 - SOLICITAÇÃO MATHEUS - TICKET Nº 193839 - MOT. ALFREDO GOMES SALATIEL</t>
  </si>
  <si>
    <t>ROBERTO RAUPP CARDOSO</t>
  </si>
  <si>
    <t>KIT2101</t>
  </si>
  <si>
    <t>08.01</t>
  </si>
  <si>
    <t xml:space="preserve">REFERENTE A 2 PESQUISAS NORMAL COMBO 1 RDO RASTER Nº 7002536 - SOLICITAÇÃO FERNANDA - TICKET Nº 193840 - MOT. ROBERTO RAUPP CARDOSO </t>
  </si>
  <si>
    <t>WILLIAM BARBOSA DE OLIVEIRA-02958940080</t>
  </si>
  <si>
    <t>IMO8F67</t>
  </si>
  <si>
    <t>REFERENTE A 3 PESQUISAS NORMAL COMBO RASTER Nº 7002854 - SOLICITAÇÃO FERNANDA - TICKET Nº 193841 - MOT. WILLIAM BARBOSA DE OLIVEIRA-02958940080</t>
  </si>
  <si>
    <t>EDSON LUIS ROSA</t>
  </si>
  <si>
    <t>TPN0I64</t>
  </si>
  <si>
    <t>REFERENTE A 3 PESQUISAS EXPRESSAS COMBO RASTER Nº 7009090 - SOLICITAÇÃO DEBORA - TICKET Nº  193844 - MOT.  EDSON LUIS ROSA</t>
  </si>
  <si>
    <t>MARCELO TREVISAN</t>
  </si>
  <si>
    <t>EUR3I02</t>
  </si>
  <si>
    <t xml:space="preserve">REFERENTE A 3 PESQUISAS NORMAL COMBO 1 RDO RASTER Nº 7002714 - SOLICITAÇÃO FERNANDA - TICKET Nº 193845 - MOT. MARCELO TREVISAN </t>
  </si>
  <si>
    <t>EDEMILSON EDSON GARCIA</t>
  </si>
  <si>
    <t>CPR2574</t>
  </si>
  <si>
    <t>04.06</t>
  </si>
  <si>
    <t xml:space="preserve">REFERENTE A CONSULTA SKYMARK Nº 3822841 - SOLICITAÇÃO THAIS - TICKET Nº 193848 - TICKET Nº 193848 - MOT.  EDEMILSON EDSON GARCIA </t>
  </si>
  <si>
    <t>ADILSON DE SOUZA CALADO</t>
  </si>
  <si>
    <t>NJZ1H05</t>
  </si>
  <si>
    <t xml:space="preserve">REFERENTE A 2 PESQUISAS EXPRESSAS COMBO RASTER Nº 7009516 - SOLICITAÇÃO DEBORA - TICKET Nº 193851 - MOT. ADILSON DE SOUZA CALADO </t>
  </si>
  <si>
    <t>JEFERSON MACHADO LEMES</t>
  </si>
  <si>
    <t>ISS6297</t>
  </si>
  <si>
    <t xml:space="preserve">REFERENTE A 2 PESQUISAS EXPRESSAS RASTER Nº 7008633  - SOLICITAÇÃO DEBORA - TICKET Nº 193854 - MOT. JEFERSON MACHADO LEMES </t>
  </si>
  <si>
    <t>ELOIZIO BARROS DE OLIVEIRA</t>
  </si>
  <si>
    <t>SHP8F13</t>
  </si>
  <si>
    <t xml:space="preserve">REFERENTE A CONSULTA SKYMARK Nº 3823127 - SOLICITAÇÃO THAIS - TICKET Nº 193855 - MOT. ELOIZIO BARROS DE OLIVEIRA </t>
  </si>
  <si>
    <t>PEDRO CESAR AVILA DE VARGAS</t>
  </si>
  <si>
    <t>IOX2J60</t>
  </si>
  <si>
    <t xml:space="preserve">REFERENTE A 3 PESQUISAS EXPRESSAS COMBO RASTER Nº 7010926 - SOLICITAÇÃO DEBORA - TICKET Nº 193859 - MOT. PEDRO CESAR AVILA DE VARGAS </t>
  </si>
  <si>
    <t>RONALDO GALVONE DE SALLES</t>
  </si>
  <si>
    <t>MNU1J66</t>
  </si>
  <si>
    <t xml:space="preserve">REFERENTE A CONSULTA OPENTECH (CONJUNTO/MOT) - SOLICITAÇÃO DEBORA - TICKET Nº 193860 - MOT. RONALDO GALVONE DE SALLES </t>
  </si>
  <si>
    <t>REGINALDO ADRIANO BARBOSA</t>
  </si>
  <si>
    <t>GKL0E65</t>
  </si>
  <si>
    <t>REFERENTE A CONSULTA OPENTECH (CONJUNTO/MOT) -SOLICITAÇÃO DEBORA - TICKET Nº 193868 - MOT. REGINALDO ADRIANO BARBOSA</t>
  </si>
  <si>
    <t>ALEXANDRE JORGE ROCHA</t>
  </si>
  <si>
    <t>GAJ2C25</t>
  </si>
  <si>
    <t>REF. A UMA RDO DUAS PESQUISAS COMBO EXPRESSA RASTER 7011656 - CAVALO GAJ2C25 MOT.ALEXANDRE JORGE ROCHA SOLC. POR DEBORA TICKET 193872- DIA 31-03-2026</t>
  </si>
  <si>
    <t>MIGUEL APARECIDO PEREIRA FILHO</t>
  </si>
  <si>
    <t>EFO9B17</t>
  </si>
  <si>
    <t>REF. A UMA LIBERAÇÃO AUTONOMA SKYMARK 3824108 - CAVALO EFO9B17 - MOT. MIGUEL APARECIDO PEREIRA FILHO - SOLC. POR VITOR - TICKET 193873- DIA 31-03-2026</t>
  </si>
  <si>
    <t>PAULO ALBUQUERQUE DA COSTA</t>
  </si>
  <si>
    <t>FRW9C15</t>
  </si>
  <si>
    <t xml:space="preserve">REFERENTE A CONSULTA SKYMARK Nº 3824346 - SOLICITAÇÃO ELAINE - TICKET Nº 193879 - MOT. PAULO ALBUQUERQUE DA COSTA </t>
  </si>
  <si>
    <t>ALMIRO PROPP</t>
  </si>
  <si>
    <t>JAA5A52</t>
  </si>
  <si>
    <t>14.04</t>
  </si>
  <si>
    <t>REF. A DUAS PESQUISAS COMBO EXPRESSA RASTER 7013519 - CAVALO JAA5A52 MOT.ALMIRO PROPP SOLC. POR THIAGO TICKET 193880- DIA 31-03-2026</t>
  </si>
  <si>
    <t>JULIO CESAR DE MELO</t>
  </si>
  <si>
    <t>PZX3953</t>
  </si>
  <si>
    <t>06.06</t>
  </si>
  <si>
    <t xml:space="preserve">REF. A UMA LIBERAÇÃO AUTONOMA SYMARK - CAVALO PZX3953 - MOT. JULIO CESAR DE MELO SOLIC. POR VALNEI TICKET 193885 - DIA 31-03-2026 </t>
  </si>
  <si>
    <t>FABRICIO JOSE BELO BERNARDO</t>
  </si>
  <si>
    <t>AXT3D73</t>
  </si>
  <si>
    <t>REFERENTE A 3 CONSULTAS RASTER Nº 7021967 - SOLICITAÇÃO DEBORA - TICKET Nº 193900 - MOT. FABRICIO JOSE BELO BERNARDO</t>
  </si>
  <si>
    <t>CRISTIANO JEAN JORDAO</t>
  </si>
  <si>
    <t>SFK8J62</t>
  </si>
  <si>
    <t xml:space="preserve">REFERENTE A 3 CONSULTAS RASTER Nº 7022021 - SOLICITAÇÃO DEBORA - TICKET Nº 193901 - MOT. CRISTIANO JEAN JORDÃO </t>
  </si>
  <si>
    <t>MARCOS ANTONIO GARBIN</t>
  </si>
  <si>
    <t>IUM3546</t>
  </si>
  <si>
    <t>REFERENTE A 3 CONSULTAS RASTER Nº 7022594 - SOLICITAÇÃO DEBORA - TICKET Nº 193905 - MOT. MARCOS ANTONIO GARBIN</t>
  </si>
  <si>
    <t xml:space="preserve">REFERENTE A 4 CONSULTAS RASTER Nº 7022806 - SOLICITAÇÃO DEBORA - TICKET Nº 193907 - MOT. PAULO REUS ALMEIDA DOS SANTOS </t>
  </si>
  <si>
    <t>LUIS FERNANDO RODRIGUES- 49128680006</t>
  </si>
  <si>
    <t>IUE3I92</t>
  </si>
  <si>
    <t xml:space="preserve">REFERENTE A 3 PESQUISAS EXPRESSA RASTER COMBO Nº 7022680 - SOLICITAÇÃO DEBORA - TICKET Nº 193910 - MOT. LUIS FERNANDO RODRIGUES </t>
  </si>
  <si>
    <t>ANDERSON ZANCA</t>
  </si>
  <si>
    <t>HQR4307</t>
  </si>
  <si>
    <t xml:space="preserve">REFERENTE A 3 CONSULTAS RASTER Nº 7029231 - SOLICITAÇÃO DEBORA - TICKET Nº 193919 - MOT. ANDERSON ZANCA </t>
  </si>
  <si>
    <t>EDSON OLIVEIRA DA SILVA</t>
  </si>
  <si>
    <t>BTA1538</t>
  </si>
  <si>
    <t xml:space="preserve">REFERENTE A 3 PESQUISAS EXPRESSAS COMBO RASTER Nº 7023103 - SOLICITAÇÃO DEBORA - TICKET Nº 193922 - MOT. EDSON OLIVEIRA DA SILVA </t>
  </si>
  <si>
    <t>LUCAS LUIZ DA SILVA NUNES</t>
  </si>
  <si>
    <t>MLW6I05</t>
  </si>
  <si>
    <t xml:space="preserve">REFERENTE A 3 PESQUISAS EXPRESSAS COMBO RASTER Nº  7022245 - SOLICITAÇÃO DEBORA - TICKET Nº 193927 - MOT LUCAS LUIZ DA SILVA NUNES </t>
  </si>
  <si>
    <t>JOSE ARISTIDES GIANELLI</t>
  </si>
  <si>
    <t>DBB6E41</t>
  </si>
  <si>
    <t>04.27</t>
  </si>
  <si>
    <t>REFERENTE A 2 PESQUISAS EXPRESSAS COMBO RASTER Nº 7022357  - SOLICITAÇÃO WILLIAN - TICKET Nº 193924  - MOT JOSE ARISTIDES GIANELLI</t>
  </si>
  <si>
    <t>CARLOS GIOVANNI ZANCA</t>
  </si>
  <si>
    <t>BYF8C41</t>
  </si>
  <si>
    <t>REFERENTE A 3 PESQUISAS EXPRESSAS COMBO RASTER Nº 7023050  - SOLICITAÇÃO DEBORA - TICKET Nº  193928 - MOT  CARLOS GIOVANNI ZANCA</t>
  </si>
  <si>
    <t>GUSTAVO MIELCZARSKI DE ABREU</t>
  </si>
  <si>
    <t>IRX1G13</t>
  </si>
  <si>
    <t>REFERENTE A PESQUISA OPENTECH RDO (CONJUNTO/MOT) - SOLICITAÇÃO DEBORA - TICKET Nº  193937 - MOT. GUSTAVO MIELCZARSKI DE ABREU</t>
  </si>
  <si>
    <t>JOSUE MANHAES BARRETO</t>
  </si>
  <si>
    <t>FPM9D92</t>
  </si>
  <si>
    <t>REFERENTE A CONSULTA OPENTECH (CONJUNTO/MOT) - SOLICITAÇÃO DEBORA - TICKET Nº 193938 - MOT. JOSUE MANHAES BARRETO</t>
  </si>
  <si>
    <t>ALLAN RICHARD BRAGA BEZA</t>
  </si>
  <si>
    <t>JCY5F71</t>
  </si>
  <si>
    <t>05.03</t>
  </si>
  <si>
    <t>REF. A DOIS ITENS PESQ. COMBO EXPRESSA + RDO RASTER 7023555 - CAVALO JCY5F71 - MOT. ALLAN RICHARD BRAGA BEZA - SOLIC. POR DEBORA TICKET 193943 - DIA 01/04/2026</t>
  </si>
  <si>
    <t>VICTOR CASA LORINI</t>
  </si>
  <si>
    <t>MFF9D33</t>
  </si>
  <si>
    <t>REF. A TRÊS ITENS PESQ. COMBO EXPRESSA RASTER 7024532 - CAVALO MFF9D33 - MOT. VICTOR CASA LORINI - SOLIC. POR DEBORA TICKET 193944 - DIA 01/04/2026</t>
  </si>
  <si>
    <t>JULIANO DE ARAUJO SILVA</t>
  </si>
  <si>
    <t>AGG5110</t>
  </si>
  <si>
    <t>REF. A UMA RDO DUAS PESQUISAS COMBO EXPRESSA RASTER 7023810 - CAVALO AGG5110 MOT.JULIANO DE ARAUJO SILVA SOLC. POR DEBORA  TICKET 193949- DIA 01-04-2026</t>
  </si>
  <si>
    <t>REF. A UMA CONSULTA CONJUNTO OPENTECH - CAVALO AVD9A36 - MOT. MARCOS ROBRTO BILATTO - SOLC. POR DEBORA  - TICKET 193953 - DIA 01-04-2026</t>
  </si>
  <si>
    <t>04.04</t>
  </si>
  <si>
    <t>REF. A TRÊS CONSULTAS RASTER 7025872 - CAVALO CPR2F80 MOT.CLAUDIO JOSE DE SOUZA  SOLC. POR MARCELO TICKET 193956- DIA 01-04-2026</t>
  </si>
  <si>
    <t>SAMUEL DE LIMA</t>
  </si>
  <si>
    <t>GXS9C61</t>
  </si>
  <si>
    <t>04.45</t>
  </si>
  <si>
    <t>REF. A UMA RDO DUAS CONSULTAS RASTER 7024847 - CAVALO GXS9C61 MOT. SAMUEL DE LIMA SOLC. POR ERICK TICKET 193962- DIA 01-04-2026</t>
  </si>
  <si>
    <t>LEANDRO MUNHOZ BALLERO</t>
  </si>
  <si>
    <t>HRO1D18</t>
  </si>
  <si>
    <t>02.01</t>
  </si>
  <si>
    <t>REF. A DUAS CONSULTAS RASTER 7026421 - CAVALO HRO1D18 - MOT. LEANDRO MUNHOZ BALLERO - SOLIC. POR RAFAEL TICKET 193965 - DIA 01/04/2026</t>
  </si>
  <si>
    <t>RONALDO OLIVEIRA JUNIOR</t>
  </si>
  <si>
    <t>RQM6J25-XF FTS480SSC</t>
  </si>
  <si>
    <t>DOUGLAS MACIEL DA SILVA</t>
  </si>
  <si>
    <t>ODA0E86</t>
  </si>
  <si>
    <t>REF. A TRÊS ITENS PESQ. COMBO NORMAL RASTER 7026405 - CAVALO ODA0E86 - MOT. DOUGLAS MACIEL DA SILVA - SOLIC. POR GABRIEL TICKET 193981 - DIA 01/04/2026</t>
  </si>
  <si>
    <t>REGIS NUNES</t>
  </si>
  <si>
    <t>IZB2F11</t>
  </si>
  <si>
    <t>REF. A TRÊS PESQUISA COMBO NORMAL RASTER 7026470 - CAVALO IZB2F11 MOT. REGIS NUNES SOLC. POR GABRIEL TICKET 193979- DIA 01-04-2026</t>
  </si>
  <si>
    <t>KESLEY LIRIO HEGGENDORN</t>
  </si>
  <si>
    <t>MPZ2J92</t>
  </si>
  <si>
    <t>REF. A TRÊS ITENS PESQ. COMBO EXPRESSA RASTER 7022677 - CAVALO MPZ2J92 - MOT. KESLEY LIRIO HEGGENDORN - SOLIC. POR MARCELO TICKET 193984 - DIA 01-04-26</t>
  </si>
  <si>
    <t>CESAR AUGUSTO SCAPIN MALLMANN</t>
  </si>
  <si>
    <t>JCN6E55</t>
  </si>
  <si>
    <t>REF. A TRÊS PESQUISA  SYMARK - CAVALO JCN6E55 - MOT. CESAR AUGUSTO SCAPIN MALLMANN  SOLIC. POR VALNEI TICKET 193983 - DIA 01-04-2026</t>
  </si>
  <si>
    <t>01.01</t>
  </si>
  <si>
    <t>REF. A TRÊS PESQUISA COMBO EXPRESSA RASTER 7022677 - CAVALO MPZ2J92 MOT. KELSEY LIRIO HEGGENDOR SOLC. POR MARCELO  TICKET 193985- DIA 01-04-2026</t>
  </si>
  <si>
    <t>GERALDO MACHADO BAKALARCZYK</t>
  </si>
  <si>
    <t>MRP9E10</t>
  </si>
  <si>
    <t>REF. A TRÊS CONSULTAS RASTER 7027576 - CAVALO MRP9E10 MOT. GERALDO MACHADO BAKALARCZYK SOLC. POR MARCELO  TICKET 193989- DIA 01-04-2026</t>
  </si>
  <si>
    <t>04.01</t>
  </si>
  <si>
    <t>REF. A TRÊS CONSULTAS RASTER 7026550 - CAVALO MTZ5G40 MOT. GERALDO LUCAS TEIXEIRA SOLC. POR FRANCISCO  TICKET 193997- DIA 01-04-2026</t>
  </si>
  <si>
    <t>ANA CRISTINA CABRAL DOS SANTOS ROCHA</t>
  </si>
  <si>
    <t>ETZ0G43</t>
  </si>
  <si>
    <t>04.42</t>
  </si>
  <si>
    <t>REF. A UMA RDO TRÊS CONSULTAS RASTER 7028163 - CAVALO ETZ0G43 MOT. ANA CRISTINA CABRAL DOS SANTOS ROCHA  SOLC. POR JOÃO PEDRO TICKET 193999- DIA 01-04-2026</t>
  </si>
  <si>
    <t>JOSIVALDO MARIANO BRITO</t>
  </si>
  <si>
    <t>LKR7A30</t>
  </si>
  <si>
    <t>REF. DUAS CONSULTAS RASTER 7028194 - CAVALO LKR7A30 MOT. JISIVALDO MARIANO BRITO  SOLC. POR JOÃO PEDRO TICKET 194000- DIA 01-04-2026</t>
  </si>
  <si>
    <t>ALESSANDRO DE SOUZA DIAS</t>
  </si>
  <si>
    <t>EFW2576</t>
  </si>
  <si>
    <t>REF. DUAS PESQUISAS COMBO EXPRESSA RASTER 7028119 - CAVALO EFW2576 MOT. JALESSANDRO DE SOUZA DIAS SOLC. POR FRANCISCO TICKET 194001- DIA 01-04-2026</t>
  </si>
  <si>
    <t>CZC8D80</t>
  </si>
  <si>
    <t>REF. TRÊS CONSULTAS RASTER 7026482 - CAVALO CZC8D80 MOT. RAFAEL OLIVEIRA DOS SANTOS  SOLC. POR FRANCISCO TICKET 194003- DIA 01-04-2026</t>
  </si>
  <si>
    <t>REFERENTE A 3 CONSULTAS RASTER Nº 7033236 - SOLICITAÇÃO MATHEUS - TICKET Nº  194008 - MOT. ANTONIO VICENTE DA SILVA MQI</t>
  </si>
  <si>
    <t>LUCAS FERREIRA VALENTIM</t>
  </si>
  <si>
    <t>REFERENTE A CONSULTA SKYMARK Nº 3828087 - SOLICITAÇÃO ALESSANDRO - TICKET Nº 194009 - MOT. LUCAS FERREIRA VALENTIM</t>
  </si>
  <si>
    <t>WALISSON FERNANDES DE SA</t>
  </si>
  <si>
    <t>ORA1H25</t>
  </si>
  <si>
    <t>REFERENTE A CONSULTA SKYMARK Nº 3828083 - SOLICITAÇÃO ALESSANDRO - TICKET Nº 194010 - MOT. WALISSON FERNANDES DE SA</t>
  </si>
  <si>
    <t>REFERENTE A CONSULTA OPENTECH (CONJUNTO/MOT) - SOLICITAÇÃO DEBORA - TICKET Nº 194013 - MOT. HUMBERTO LUIS HILLE</t>
  </si>
  <si>
    <t>MARCIO LOPES PEREIRA</t>
  </si>
  <si>
    <t>ANF0E20</t>
  </si>
  <si>
    <t>REFERENTE A PESQUISA OPENTECH RDO (CONJUNTO/MOT) - SOLICITAÇÃO DEBORA - TICKET Nº 194014 - MOT. MARCIO LOPES PEREIRA</t>
  </si>
  <si>
    <t>DOUGLAS ELIESER ALVARENGA</t>
  </si>
  <si>
    <t>NYW8F44</t>
  </si>
  <si>
    <t xml:space="preserve">REFERENTE A CONSULTA SKYMARK Nº 3828830 - SOLICITAÇÃO ALESSANDRO - TICKET Nº 194022 - MOT. DOGLAS ELIESER ALVARENGA </t>
  </si>
  <si>
    <t>BRUNO ARCANJO MARTINS</t>
  </si>
  <si>
    <t>QHU6H41</t>
  </si>
  <si>
    <t xml:space="preserve">REFERENTE A CONSULTA SKYMARK Nº 3828841 - SOLICITAÇÃO ALESSANDRO - TICKET Nº 194023 - MOT. BRUNO ARCANJO MARTINS </t>
  </si>
  <si>
    <t>AURELIO SOUZA PEDREIRA</t>
  </si>
  <si>
    <t>OUH4692</t>
  </si>
  <si>
    <t>03.01</t>
  </si>
  <si>
    <t>REF. DUAS CONSULTAS RASTER 7036031- CAVALO OUH4692 MOT. AURELIO SOUZA PEDREIRA SOLC. POR UELDER TICKET 194033- DIA 02-04-2026</t>
  </si>
  <si>
    <t>MARCELO ELADIO ROMERO</t>
  </si>
  <si>
    <t>IIH2657</t>
  </si>
  <si>
    <t>04.03</t>
  </si>
  <si>
    <t>REF. DUAS PESQUISAS NORMAL RASTER 7035542- CAVALO IIH2657 MOT. MARCELO ELADIO ROMERO SOLC. POR KELIRIN TICKET 194035- DIA 02-04-2026</t>
  </si>
  <si>
    <t>HAMILTON VALDEMAR BOCK</t>
  </si>
  <si>
    <t>ADU3G66</t>
  </si>
  <si>
    <t>REF.TRÊS PESQUISAS NORMAL RASTER 7035525- CAVALO ADU3G66 MOT. HAMILTON VALDEMAR BOCK SOLC. POR KELIRIN TICKET 194036- DIA 02-04-2026</t>
  </si>
  <si>
    <t>MARCOS DOS SANTOS BITENCOURT</t>
  </si>
  <si>
    <t>JAC3A74</t>
  </si>
  <si>
    <t>REF.TRÊS PESQUISAS COMBO EXPRESSA RASTER 7036128 CAVALO JAC3A74 MOT. MARCOS DOS SANTOS BITENCOURT SOLC. POR DEBORA TICKET 194040- DIA 02-04-2026</t>
  </si>
  <si>
    <t>LUIS FABIO FREITAS CUNHA</t>
  </si>
  <si>
    <t>EFB5D68</t>
  </si>
  <si>
    <t>REF.DUAS PESQUISAS COMBO EXPRESSA RASTER 7036429 CAVALO EFB5D68 MOT. LUIS FABIO FREITAS CINHA  SOLC. POR THALIA TICKET 194044- DIA 02-04-2026</t>
  </si>
  <si>
    <t xml:space="preserve">ADELINO GOMES DA CRUZ </t>
  </si>
  <si>
    <t>DBM7B38</t>
  </si>
  <si>
    <t>04.21</t>
  </si>
  <si>
    <t xml:space="preserve">REFERENTE A 3 PESQUISAS EXPRESSAS COMBO RASTER Nº 7035908 - SOLICITAÇÃO PAULO - TICKET Nº 194042 - MOT. ADELINO GOMES DA CRUZ </t>
  </si>
  <si>
    <t>ALESSANDRO DIOGO DA SILVA</t>
  </si>
  <si>
    <t>IQF3649</t>
  </si>
  <si>
    <t>REFERENTE A 2 PESQUISAS EXPRESSAS 1 RDO RASTER Nº 7035901 - SOLICITAÇÃO DEBORA - TICKET Nº 194052 - MOT. ALESSANDRO DIOGO DA SILVA</t>
  </si>
  <si>
    <t>06.02</t>
  </si>
  <si>
    <t xml:space="preserve">REFERENTE A CONSULTA SKYMARK Nº 3829678 - SOLICITAÇÃO ELAINE - TICKET Nº 194053 - MOT. PAULO ALBUQUERQUE DA COSTA </t>
  </si>
  <si>
    <t>ALDOIR LIMA SANTOS JUNIOR</t>
  </si>
  <si>
    <t>IGJ7655</t>
  </si>
  <si>
    <t>08.04</t>
  </si>
  <si>
    <t xml:space="preserve">REFERENTE A 3 PESQUISAS NORMAL AVULSA RASTER Nº 7035538 - SOLICITAÇÃO KERILIN - TICKET Nº 194054 - MOT. ALDOIR LIMA SANTOS JUNIOR </t>
  </si>
  <si>
    <t>REFERENTE A CONSULTA SKYMARK Nº 3829472 - SOLICITAÇÃO VITOR - TICKET Nº  194059 - MOT. MIGUEL APARECIDO PEREIRA FILHO</t>
  </si>
  <si>
    <t>WALDEMAR BRAILA</t>
  </si>
  <si>
    <t>CSQ8956</t>
  </si>
  <si>
    <t xml:space="preserve">REF. A UMA LIBERAÇÃO DE AUTONOMO SYMARK - CAVALO CSQ8956 - MOT. WALDEMAR BRAILA  SOLIC. POR THAIS TICKET 194058 - DIA 02-04-2026 </t>
  </si>
  <si>
    <t>ROGERIO MOITA NUNES</t>
  </si>
  <si>
    <t>QAY7C39</t>
  </si>
  <si>
    <t>4.45</t>
  </si>
  <si>
    <t>REFERENTE A 2 PESQUISAS NORMAL COMBO 1 RDO RASTER Nº 7035074 - SOLICITAÇÃO ERICK - TICKET Nº 194062 - MOT. ROGERIO MOITA NUNES</t>
  </si>
  <si>
    <t>REF. TRÊS CONSULTAS  RASTER 7038900 CAVALO CPR2F80 MOT.CLAUDIO JOSE DE SOUZA SOLC. POR MARCELO TICKET 194071- DIA 02-04-2026</t>
  </si>
  <si>
    <t>ANTONIO ALVES DE LIMA</t>
  </si>
  <si>
    <t>BTA7074</t>
  </si>
  <si>
    <t>REF. DUS PESQUISAS COMBO EXPRESSA RASTER 7037359 CAVALO BTA7074 MOT.ANTONIO ALVES DE LIMA SOLC. POR FRANCISCO TICKET 194073- DIA 02-04-2026</t>
  </si>
  <si>
    <t>Jardel Cabral da Silva</t>
  </si>
  <si>
    <t>OLG2E52</t>
  </si>
  <si>
    <t>REF.A  UMA LIB. DE AUTONO SKYMARK 3830840 - CAVALO OLG2E52 - MOT. Jardel Cabral da Silva - SOLIC. POR  Alessandro Lagares Ferreira TICKET 194076 - DIA 03-04-2026</t>
  </si>
  <si>
    <t>ROBSON ANDREY DE OLIVEIRA SOUZA</t>
  </si>
  <si>
    <t>FRQ8G06</t>
  </si>
  <si>
    <t>REF. A DUAS CONSULTAS RASTER 7046840 - CAVALO FRQ8G06 - MOT. ROBSON ANDREY DE OLIVEIRA SOUZA - SOLIC. POR GAZIELE TICKET 194080 - DIA 03-04-26</t>
  </si>
  <si>
    <t>CLAUDINEI ROBERTO ROCHA</t>
  </si>
  <si>
    <t>EOE6A76</t>
  </si>
  <si>
    <t>REF. A PESQ. OPENTECH - CAVALO EOE6A76 - MOT. CLAUDINEI ROBERTO ROCHA - SOLIC. POR DEBORA TICKET 194086 - DIA 04-04-26</t>
  </si>
  <si>
    <t>JEFERSON DA ROSA NUNES</t>
  </si>
  <si>
    <t>EJV2C74</t>
  </si>
  <si>
    <t>REF. A DOIS ITNES PESQ. COMBO NORMAL + RDO RASTER 7038180 - CAVALO EJV2C74 - MOT. JEFERSON DA ROSA NUNES - SOLIC. POR ERICK TICKET 194087 - DIA 04/04/2026</t>
  </si>
  <si>
    <t>MICAEL GEDOZ</t>
  </si>
  <si>
    <t>ELW2H33</t>
  </si>
  <si>
    <t>REF. A TRÊS ITENS PESQ. COMBO NORMAL RASTER 7038230 - CAVALO ELW2H33 - MOT. MICAEL GEDOZ - SOLIC. POR ERICK TICKET 194088 - DIA 04/04/2026</t>
  </si>
  <si>
    <t>ADRIANO ROMAO FLOR</t>
  </si>
  <si>
    <t>QPV0J95</t>
  </si>
  <si>
    <t>REF. A TRÊS ITENS PESQ. COMBO NORMAL RASTER 7034007 - CAVALO QPV0J95- MOT. ADRIANO ROMAO FLOR - SOLIC. POR ERICK TICKET 194089 - DIA 04/04/2026</t>
  </si>
  <si>
    <t>DAVID MATTOZO MACHADO</t>
  </si>
  <si>
    <t>ITR0A91</t>
  </si>
  <si>
    <t>REF. A DOIS ITNES PESQ. COMBO NORMAL + RDO RASTER 7038093 - CAVALO ITR0A91 - MOT. DAVID MATTOZO MACHADO - SOLIC. POR ERICK TICKET 194090 - DIA 04/04/2026</t>
  </si>
  <si>
    <t>DIONE MARCOS MARETH</t>
  </si>
  <si>
    <t>MGW9E85</t>
  </si>
  <si>
    <t>REF. A QUATRO ITENS PESQ. COMBO NORMAL RASTER 7049178 - CAVALO MGW9E85 - MOT. DIONE MARCOS MARETH - SOLIC. POR GISELI TICKET  194093 - DIA 04/04/2026</t>
  </si>
  <si>
    <t>EDICLEITON DA SILVA MOREIRA</t>
  </si>
  <si>
    <t>FOT1A02</t>
  </si>
  <si>
    <t>REF. A DUAS CONSULTAS + RDO RASTER 7048802 - CAVALO FOT1A02 - MOT. EDICLEITON DA SILVA MOREIRA - SOLIC. POR ERICK TICKET 194095 - DIA 04/04/2026</t>
  </si>
  <si>
    <t>MAURICIO DA CUNHA FRANCISCO</t>
  </si>
  <si>
    <t>REF. A DUAS CONSULTAS RASTER 7057344 - CAVALO LKR7A30 - MOT. MAURICIO DA CUNHA FRANCISCO - SOLIC. POR GRAZIELE TICKET 194098 - DIA 05-04-2026</t>
  </si>
  <si>
    <t>VICTOR WELLINGTON DA SILVA LOPES</t>
  </si>
  <si>
    <t>EMN6E91</t>
  </si>
  <si>
    <t>REF. A UMA RDO + UMA CONUSLTA + UM ITEM PESQ. AVULSA EXPRESSA RASTER 7057135 - CAVALO EMN6E91 - MOT. VICTOR WELLINGTON DA SILVA LOPES - SOLIC. POR GRAZIELE TICKET 194102 - DIA 05/04/2026</t>
  </si>
  <si>
    <t>FABIO EDUARDO ROSSI</t>
  </si>
  <si>
    <t>AOL0A26</t>
  </si>
  <si>
    <t>REFERENTE A CONSULTA OPENTECH (CONJUNTO/MOT) - SOLICITAÇÃO DEBORA - TICKET Nº 194108 - MOT. FABIO EDUARDO ROSSI]</t>
  </si>
  <si>
    <t>ANTONIO SANTOS DA SILVA</t>
  </si>
  <si>
    <t>AYR2D57</t>
  </si>
  <si>
    <t>04.28</t>
  </si>
  <si>
    <t>REFERENTE A 2 CONSULTAS RASTER Nº 7060660 - SOLICITAÇÃO THALIA - TICKET Nº 194109 - MOT. ANTONIO SANTOS DA SILVA</t>
  </si>
  <si>
    <t>AGNALDO APARECIDO PREVIATTI</t>
  </si>
  <si>
    <t>AAQ6F04</t>
  </si>
  <si>
    <t>REFERENTE A CONSULTA OPENTECH (CONJUNTO/MOT) - SOLICITAÇÃO DEBORA - TICKET Nº 194110 - MOT. AGNALDO APARECIDO PREVIATTI</t>
  </si>
  <si>
    <t>REFERENTE A 3 CONSULTAS RASTER Nº 7061151 - SOLICITAÇÃO ISMAEL - TICKET Nº 194112 - MOT. JEFERSON MACHADO LEMES</t>
  </si>
  <si>
    <t>REFERENTE A 3 CONSULTAS RASTER Nº 7061215 - SOLICITAÇÃO ISMAEL - TICKET Nº 194113 - MOT. LUIS FERNANDO RODRIGUES- 49128680006</t>
  </si>
  <si>
    <t>REFERENTE A 3 CONSULTAS RASTER Nº 7061237 - SOLICITAÇÃO ISMAEL - TICKET Nº 194114 - MOT.  MARCOS ANTONIO GARBIN</t>
  </si>
  <si>
    <t>ODAIR BERLANDE</t>
  </si>
  <si>
    <t xml:space="preserve">REFERENTE A 3 CONSULTAS RASTER Nº 7061243  - SOLICITAÇÃO ISMAEL - TICKET Nº 194115 - MOT. ODAIR BERLANDE </t>
  </si>
  <si>
    <t>REFERENTE A CONSULTA OPENTECH (CONJUNTO-MOT) SOLICITAÇÃO DEBORA - TICKET Nº 194118 - MOT. MARCOS ROBERTO BILATTO</t>
  </si>
  <si>
    <t>MATHEUS NOGUEIRA DA SILVA</t>
  </si>
  <si>
    <t>OVZ0E36</t>
  </si>
  <si>
    <t>REFERENTE A CONSULTA OPENTECH (CONJUNTO-MOT) SOLICITAÇÃO DEBORA - TICKET Nº 194120 - MOT. MATHEUS NOGUEIRA DA SILVA</t>
  </si>
  <si>
    <t>OLV7F75</t>
  </si>
  <si>
    <t>REFERENTE A CONSULTA OPENTECH (CONJUNTO-MOT) SOLICITAÇÃO DEBORA - TICKET Nº 194122 - MOT. EDUARDO DE JESUS TOMAZINHO</t>
  </si>
  <si>
    <t>IGOR APARECIDO FIALHO</t>
  </si>
  <si>
    <t>AJO1022</t>
  </si>
  <si>
    <t>REFERENTE A CONSULTA OPENTECH (CONJUNTO-MOT) SOLICITAÇÃO DEBORA - TICKET Nº 194126 - MOT. IGOR APARECIDO FIALHO</t>
  </si>
  <si>
    <t>MARCELO SANTOS GERMANO</t>
  </si>
  <si>
    <t>BWT8068</t>
  </si>
  <si>
    <t>REFERENTE A CONSULTA OPENTECH (CONJUNTO-MOT) SOLICITAÇÃO DEBORA - TICKET Nº 194127 - MOT. MARCELO SANTOS GERMANO</t>
  </si>
  <si>
    <t xml:space="preserve">REFERENTE A 2 PESQUISAS EXPRESSAS COMBO RASTER Nº 7061845 - SOLICITAÇÃO DANIEL - TICKET Nº 194137 - MOT. JOSIVALDO MARIANO BRITO </t>
  </si>
  <si>
    <t>GEDILSON BARROS SILVANO DE AZEREDO</t>
  </si>
  <si>
    <t>OQO2J97</t>
  </si>
  <si>
    <t>REFERENTE A CONSULTA OPENTECH (CONJUNTO-MOT) SOLICITAÇÃO DEBORA - TICKET Nº 194138 - MOT. GEDILSON BARROS SILVANO DE AZEREDO</t>
  </si>
  <si>
    <t>06.04</t>
  </si>
  <si>
    <t>REFERENTE A PESQUISA SKYMARK (CONJUNTO/MOT) Nº 3833712 - SOLICITAÇÃO AMANDA - TICKET Nº  194148 - MOT. RONALDO MOREIRA DUARTE</t>
  </si>
  <si>
    <t>PAULO CESAR BRAZ</t>
  </si>
  <si>
    <t>NFN2I56</t>
  </si>
  <si>
    <t xml:space="preserve">REFERENTE A 3 PESQUISAS EXPRESSAS RASTER Nº  7061344 - SOLICITAÇÃO GABRIEL - TICKET Nº 194150 - MOT. PAULO CESAR BRAZ </t>
  </si>
  <si>
    <t>MARCOS GOMES MACHADO</t>
  </si>
  <si>
    <t>BED6B68</t>
  </si>
  <si>
    <t>REF. TRÊS PESQUISAS COMBO EXPRESSA RASTER 7061654 CAVALO BED6B68 MOT.MARCOS GOMES MACHADO  SOLC. POR GABRIEL TICKET 194155- DIA 06-04-2026</t>
  </si>
  <si>
    <t>GLEISON RICARDO ALVES</t>
  </si>
  <si>
    <t>IYG0I79</t>
  </si>
  <si>
    <t>REF. A UMA LIBERAÇÃO DE AUTONOMO SYMARK - CAVALO IYG0I79 - MOT. GLEISON RICARDO ALVES SOLIC. POR ALESSANDRO TICKET 194158 - DIA 06-04-2026</t>
  </si>
  <si>
    <t>DANIEL LUCAS COSTA</t>
  </si>
  <si>
    <t>MTZ5539</t>
  </si>
  <si>
    <t xml:space="preserve">REF. A PESQUISA E ANALISE SYMARK - CAVALO MTZ5539- MOT. DANIEL LUCAS COSTA SOLIC. POR ALE TROTA TICKET 194156 - DIA 06-04-2026 </t>
  </si>
  <si>
    <t>RAFAEL SILVA DE SOUZA</t>
  </si>
  <si>
    <t>RLH0C40</t>
  </si>
  <si>
    <t>REF. TRÊS PESQUISAS COMBO EXPRESSA RASTER 7062824 CAVALO RLH0C40 MOT. RAFAEL SILVA DE SOUZA SOLC. POR DEBORA TICKET 194159- DIA 06-04-2026</t>
  </si>
  <si>
    <t>RAFAEL FONTINELE FROTA</t>
  </si>
  <si>
    <t>OPS0C30</t>
  </si>
  <si>
    <t xml:space="preserve">REFERENTE A CONSULTA OPENTECH (CONJUNTO-MOT) SOLICITAÇÃO DEBORA - TICKET Nº 194164 - MOT.  RAFAEL FONTINELE FROTA </t>
  </si>
  <si>
    <t>HEBER RODRIGUEZ MUNIZ</t>
  </si>
  <si>
    <t>IIA1480</t>
  </si>
  <si>
    <t>REFERENTE A 2 CONSULTAS RASTER Nº 7064954 - SOLICITAÇÃO SANDRO - TICKET Nº 194166 - MOT. HEBER RODRIGUEZ MUNIZ</t>
  </si>
  <si>
    <t>RICARDO GONCALVES MIRANDA</t>
  </si>
  <si>
    <t>AJN4J53</t>
  </si>
  <si>
    <t>REF. A TRÊS ITENS PESQ. COMBO EXPRESSA RASTER 7060557 - CAVALO AJN4J53 - MOT. RICARDO GONCALVES MIRANDA - SOLIC. POR GABRIEL TICKET 194175 - DIA 06/04/2026</t>
  </si>
  <si>
    <t>EDUARDO SCHUTZ BOCK</t>
  </si>
  <si>
    <t>JDC6I18</t>
  </si>
  <si>
    <t>REF. UMA RDO DUAS  PESQUISAS COMBO EXPRESSA RASTER 7063476 CAVALO JDC6I198 MOT. EDUARDO SCHUTZ BOCK SOLC. POR DEBORA TICKET 194170- DIA 06-04-2026</t>
  </si>
  <si>
    <t>REF. A UMA RDO UMA PESQUISA CONJUNTO OPENTECH - CAVALO JDC6I18 - MOT. MEDUARDO CHUTZ BOCK - SOLC. POR DEBORA  - TICKET 194170 - DIA 06-04-2026</t>
  </si>
  <si>
    <t>LEONARDO MARTINS ROMEIRO</t>
  </si>
  <si>
    <t>AOZ1I89</t>
  </si>
  <si>
    <t>REFERENTE A CONSULTA OPENTECH (CONJUNTO-MOT) SOLICITAÇÃO DEBORA - TICKET Nº 194174 - MOT.  LEONARDO MARTINS ROMEIRO</t>
  </si>
  <si>
    <t>NEIMAR SILVA DO CARMO</t>
  </si>
  <si>
    <t>RVK3J02</t>
  </si>
  <si>
    <t>REF. A UMA PESQUISA  SYMARK - CAVALO RVK3J02- MOT. NEIMAR SILVA DO CARMO SOLIC. POR MATHEUS TICKET 194178 - DIA 06-04-2026</t>
  </si>
  <si>
    <t>EDER CHARAO PIELUHOWSKI</t>
  </si>
  <si>
    <t>JDA8A95</t>
  </si>
  <si>
    <t>REFERENTE A 3 PESQUISAS EXPERESSAS RASTER COMBO Nº 7063537 - SOLICITAÇÃO DEBORA - TICKET Nº 194177 - MOT. EDER CHARAO PIELUHOWSKI</t>
  </si>
  <si>
    <t>REFERENTE A PESQUISA RDO OPENTECH (CONJUNTO-MOT) SOLICITAÇÃO DEBORA - TICKET Nº 194177 - MOT. EDER CHARAO PIELUHOWSKI</t>
  </si>
  <si>
    <t>MICHAEL CAMPOS DE SOUSA</t>
  </si>
  <si>
    <t>PPG9G24</t>
  </si>
  <si>
    <t>REFERENTE A 2 PESQUISAS SKYMARK Nº 3834564 - SOLICITAÇÃO  ALESSANDRO - TICKET Nº 194179 - MOT. MICHAEL CAMPOS DE SOUZA</t>
  </si>
  <si>
    <t>SAMIR FERREIRA ASSIS</t>
  </si>
  <si>
    <t>ODJ1B62</t>
  </si>
  <si>
    <t>REF. A TRÊS PESQUISAS  SYMARK - CAVALO ODJ1B62- MOT. SAMIR FERREIRA ASSIS SOLIC. POR MATHEUS TICKET 194189 - DIA 06-04-2026</t>
  </si>
  <si>
    <t>CARLOS LIMA DOS SANTOS - 027.097</t>
  </si>
  <si>
    <t>DJF2F38</t>
  </si>
  <si>
    <t>REF. DUAS PESQUISAS COMBO EXPRESSA RASTER 7065727 CAVALO DJF2F38 MOT. CARLOS LIMA DOS SANTOS SOLC. POR FRANCISCO TICKET 194202- DIA 06-04-2026</t>
  </si>
  <si>
    <t>JESSE LUCIO ALVES DA SILVA</t>
  </si>
  <si>
    <t>LPW6C81</t>
  </si>
  <si>
    <t>REF. DUAS CONSULTAS RASTER 7067633 CAVALO LPW6C81 MOT. JESSE LUCIO ALVES DA SILVA  SOLC. POR FABIANA TICKET 194201- DIA 06-04-2026</t>
  </si>
  <si>
    <t>GILDEZIO ZIMERER VILAS BOAS</t>
  </si>
  <si>
    <t>JQH3464</t>
  </si>
  <si>
    <t>REF. DUAS PESQUISAS COMBO EXPRESSA RASTER 7067279 CAVALO JQH3464 MOT. GILDEZIO ZIMERER VILAS BOAS SOLC. POR SILVIANO  TICKET 194205- DIA 06-04-2026</t>
  </si>
  <si>
    <t>LUCAS NUNES RIBEIRO</t>
  </si>
  <si>
    <t>GKB5A78</t>
  </si>
  <si>
    <t>REF. TRÊS PESQUISAS COMBO EXPRESSA RASTER 7066667 CAVALO GKB5A78 MOT. LUCAS NUNES RIBEIRO SOLC. POR FRANCISCO TICKET 194206 - DIA 06-04-2026</t>
  </si>
  <si>
    <t>ELIAS DAS CHAGAS ANTUNES</t>
  </si>
  <si>
    <t>OPG6I18</t>
  </si>
  <si>
    <t xml:space="preserve">REFERENTE A 3 CONSULTAS RASTER Nº 7075169 - SOLICITAÇÃO FABIANA - TICKET Nº 194208 - MOT. ELIAS DAS CHAGAS ANTUNES </t>
  </si>
  <si>
    <t>JOSE CARLOS DA SILVA - 196.107.248-33</t>
  </si>
  <si>
    <t>LAH6E78</t>
  </si>
  <si>
    <t>REFERENTE A 2 PESQUISAS EXPRESSAS RASTER Nº 7066146 - SOLICITAÇÃO RAFAEL - TICKET Nº 194210 - MOT.  JOSE CARLOS DA SILVA - 196.107.248-33</t>
  </si>
  <si>
    <t>REFERENTE A 2 CONSULTAS RASTER Nº 7075176 - SOLICITAÇÃO FABIANA - TICKET Nº 194209 - MOT. ANA CRISTINA CABRAL DOS SANTOS ROCHA</t>
  </si>
  <si>
    <t>ADRIANO BORGES</t>
  </si>
  <si>
    <t>TQQ0H36</t>
  </si>
  <si>
    <t>REFERENTE A PESQUISA OPENTECH RDO (CONJUNTO/MOT) - SOLICITAÇÃO DEBORA - TICKET Nº 194213 - MOT. ADRIANO BORGES</t>
  </si>
  <si>
    <t>EDSON RIOS BERNARDINELLI</t>
  </si>
  <si>
    <t>FMD3I95</t>
  </si>
  <si>
    <t>REFERENTE A 2 CONSULTAS RASTER Nº 7068164 - SOLICITAÇÃO FABIANA - TICKET Nº 194074 - MOT. EDSON RIOS BERNARDINELLI</t>
  </si>
  <si>
    <t>ADONIAS HENRIQUE DE SANTANA</t>
  </si>
  <si>
    <t>LRB3D48</t>
  </si>
  <si>
    <t>04.20</t>
  </si>
  <si>
    <t>REFERENTE A 2 PESQUISAS NORMAL 1 RDO RASTER  Nº 7061289 - SOLICITAÇÃO GUSTAVO - 194199 - MOT. ADONIAS HENRIQUE DE SANTANA</t>
  </si>
  <si>
    <t xml:space="preserve">REFERENTE A CONSULTA OPENTECH (CONJUNTO/MOT) - SOLICITAÇÃO DEBORA - TICKET Nº 194215 - MOT. FABIO EDUARDO ROSSI </t>
  </si>
  <si>
    <t>ANTONIO ESTANISLAU ZOZIMO</t>
  </si>
  <si>
    <t>HMV4C65</t>
  </si>
  <si>
    <t xml:space="preserve">REFERENTE A 1 CONSULTA SKYMARK Nº 3835166 - SOLICITAÇÃO MATHEUS - TICKET Nº 194217 - MOT. ANTONIO ESTANISLAU ZOZIMO </t>
  </si>
  <si>
    <t>REFERENTE A CONSULTA OPENTECH (CONJUNTO/MOT) - SOLICITAÇÃO DEBORA - TICKET Nº 194219 - MOT GEDILSON BARROS SILVANO DE AZEREDO</t>
  </si>
  <si>
    <t>REFERENTE A 3 CONSULTAS RASTER Nº 70875840 - SOLICITAÇÃO ISMAEL - TICKET Nº 194220 - MOT. ALESSANDRO DIOGO DA SILVA</t>
  </si>
  <si>
    <t>TIAGO HENRIQUE DA SILVA</t>
  </si>
  <si>
    <t>EFO8A81</t>
  </si>
  <si>
    <t>REFERENTE A 1 PESQUISA SKYMARK Nº 3835932  - SOLICITAÇÃO MATHEUS - TICKET Nº 194222- MOT. TIAGO HENRIQUE DA SILVA</t>
  </si>
  <si>
    <t>REFERENTE A CONSULTA SKYMARK Nº 3835894 - SOLICITAÇÃO DENILSON - TICKET Nº 194224 - MOT.  PAULO ALBUQUERQUE DA COSTA</t>
  </si>
  <si>
    <t>REFERENTE A CONSULTA OPENTECH (CONJUNTO/MOT) - SOLICITAÇÃO DEBORA - TICKET Nº 194225 - MOT. RONALDO GALVONE DE SALLES</t>
  </si>
  <si>
    <t>EDSON SILVA</t>
  </si>
  <si>
    <t>QIW2795</t>
  </si>
  <si>
    <t>REFERENTE A CONSULTA OPENTECH (CONJUNTO/MOT) - SOLICITAÇÃO DEBORA - TICKET Nº 194227 - MOT. EDSON SILVA</t>
  </si>
  <si>
    <t>FERNANDO PANSERA JUNIOR</t>
  </si>
  <si>
    <t>QID8H19</t>
  </si>
  <si>
    <t>REFERENTE A 2 PESQUISAS EXPRESSAS 1 RDO RASTER Nº 7064581 - SOLICITAÇÃO DEBORA - TICKET Nº 194232 - MOT. FERNANDO PANSERA JUNIOR</t>
  </si>
  <si>
    <t>VICTOR AUGUSTO BAMBINETTI</t>
  </si>
  <si>
    <t>SXN5E15</t>
  </si>
  <si>
    <t>REFERENTE A 2 PESQUISAS EXPRESSAS 1 RDO RASTER Nº 7060537 - SOLICITAÇÃO DEBORA - TICKET Nº 194233 - MOT. VICTOR AUGUSTO BAMBINETTI</t>
  </si>
  <si>
    <t>MARCOS ROBERTO GONCALVES</t>
  </si>
  <si>
    <t>FFR4I60</t>
  </si>
  <si>
    <t>REFERENTE A CONSULTA OPENTECH (CONJUNTO/MOT) - SOLICITAÇÃO DEBORA - TICKET Nº 194234 - MOT. MARCOS ROBERTO GONCALVES</t>
  </si>
  <si>
    <t>LEANDRO DO NASCIMENTO 32316953840</t>
  </si>
  <si>
    <t>ACH1G73</t>
  </si>
  <si>
    <t>REFERENTE A CONSULTA OPENTECH (CONJUNTO/MOT) - SOLICITAÇÃO DEBORA - TICKET Nº 194235 - MOT. LEANDRO DO NASCIMENTO 32316953840</t>
  </si>
  <si>
    <t>ROBSON DANIEL PIVETTA</t>
  </si>
  <si>
    <t>QJY7051</t>
  </si>
  <si>
    <t>REFERENTE A PESQUISA OPENTECH (CONJUNTO/MOT) - SOLICITAÇÃO DEBORA - TICKET Nº 194239 - MOT. ROBSON DANIEL PIVETTA</t>
  </si>
  <si>
    <t>JEAN BERALDO</t>
  </si>
  <si>
    <t>TDR4C33</t>
  </si>
  <si>
    <t>REFERENTE A CONSULTA SKYMARK Nº 3835902 - SOLICITAÇÃO MATHEUS - TICKET Nº 194250 - MOT. JEAN BERALDO</t>
  </si>
  <si>
    <t>REFERENTE A 2 CONSULTAS RASTER Nº 7078496 - SOLICITAÇÃO GRAZIELE - TICKET Nº 194251 - MOT. VICTOR WELLINGTON DA SILVA LOPES</t>
  </si>
  <si>
    <t>JOSE SOUZA DE MOURA</t>
  </si>
  <si>
    <t>LZV2701</t>
  </si>
  <si>
    <t>REF. TRÊS CONSULTAS RASTER 7078646 CAVALO LZV2701 MOT. JOSE SOUZA DE MOURA SOLC. POR KELIRIN TICKET 194253- DIA 07-04-2026</t>
  </si>
  <si>
    <t>JOAO LUCAS RABELO</t>
  </si>
  <si>
    <t>MIP4H20</t>
  </si>
  <si>
    <t>REF. AUMA RDO DUAS PESQUISAS COMBO EXPRESSA RASTER 7076593 CAVALO MIP4H20 MOT. JOÃO LUCAS RABELO SOLC. POR DEBORA TICKET 194256- DIA 07-04-2026</t>
  </si>
  <si>
    <t>ROGERIO FONTES</t>
  </si>
  <si>
    <t>EKJ0A50</t>
  </si>
  <si>
    <t>REF. A TRÊS CONSULTAS RASTER 7079031 CAVALO EKJ0A50 MOT. ROGERIO FONTES SOLC. POR MARCELO TICKET 194258 DIA 07-04-2026</t>
  </si>
  <si>
    <t>MATHEUS TIAGO BELARMINO</t>
  </si>
  <si>
    <t>RXZ3C98</t>
  </si>
  <si>
    <t>REF. A UMA RDO UMA PESQUISA CONJUNTO OPENTECH - CAVALO RXZ3C98 - MOT. MATHEUS TIAGO BELARMINO - SOLC. POR DEBORA  - TICKET 194260 - DIA 07-04-2026</t>
  </si>
  <si>
    <t>REF. A UMA RDO UMA PESQUISA CONJUNTO OPENTECH CAVALO KIT2101 MOT. ROBERTO RAUPP CARDOSO SOLC. POR DEBORA - TICKET 194284 - DIA 07-04-2026</t>
  </si>
  <si>
    <t>ALEX FERREIRA DE ASSIS</t>
  </si>
  <si>
    <t>QCR8J46</t>
  </si>
  <si>
    <t>REF. A UMA RDO UMA CONSULTA RASTER 7080240 CAVALO QCR8J46 MOT. ALEX FERREIRA DE ASSIS SOLC. POR GRAZIELETICKET 194270 DIA 07-04-2026</t>
  </si>
  <si>
    <t>ANTONIO MARCOS SANTANNA</t>
  </si>
  <si>
    <t>RBH1H11</t>
  </si>
  <si>
    <t>REFERENTE A 3 PESQUISAS COMBO NORMAL RASTER Nº 7063866 - SOLICITAÇÃO MARCELO - TICKET Nº  194285 - MOT. ANTONIO MARCOS SANTANNA</t>
  </si>
  <si>
    <t>REF. A TRÊS CONSULTA RASTER 7081223 CAVALO CPR2F80 MOT. CLAUDIO JOSE DE SOUZA SOLC. POR MARCELO TICKET 194286 DIA 07-04-2026</t>
  </si>
  <si>
    <t>FERNANDO DE SOUZA LOURENCO</t>
  </si>
  <si>
    <t>OQN9D32</t>
  </si>
  <si>
    <t>REFERENTE A 3 CONSULTAS RASTER Nº 7081409 - SOLICITAÇÃO UELDER - TICKET Nº  194289 - MOT. FERNANDO DE SOUZA LOURENCO</t>
  </si>
  <si>
    <t>TARCIS ANDRE DA SILVA MOREIRA</t>
  </si>
  <si>
    <t>JRR0I80</t>
  </si>
  <si>
    <t>REF. A TRÊS CONSULTA RASTER 7081495 CAVALO JRR0I80 MOT. TARCIS ANDRE DA SILVA SOLC. POR UELDER TICKET 194290 DIA 07-04-2026</t>
  </si>
  <si>
    <t>REF. A DUAS CONSULTA RASTER 7081849 CAVALO HRO1D18 MOT. LEANDRO MUNHOZ BALIERO SOLC. POR THALIA TICKET 194296 DIA 07-04-2026</t>
  </si>
  <si>
    <t>REF. A UMA  PESQUISAS  SYMARK 3836795 - CAVALO EFO9B17- MOT. MIGUEL APARECIDO PEREIRA FILHO SOLIC. POR VITOR TICKET 194297 - DIA 07-04-2026</t>
  </si>
  <si>
    <t>CARLOS HENRIQUE MAZUREK</t>
  </si>
  <si>
    <t>MJB0F84</t>
  </si>
  <si>
    <t>REF. A UMA PESQUISA COMBO EXPRESA DUAS CONSULTA RASTER 7082433 CAVALO HRO1D18 MOT. CARLOS HENRIQUE MAZUREK SOLC. POR JOÃO PEDRO TICKET 194304 DIA 07-04-2026</t>
  </si>
  <si>
    <t>FRANCISCO PEDRO ROMAO</t>
  </si>
  <si>
    <t>AMG2I50</t>
  </si>
  <si>
    <t>REF. A TRÊS PESQUISA COMBO EXPRESA RASTER 7080605 CAVALO AMG2I50 MOT. FRANCISCO PEDRO ROMÃO SOLC. POR FRANCISCO TICKET 194305 DIA 07-04-2026</t>
  </si>
  <si>
    <t>ALESSANDRO JUNIOR SANTOS DE MATOS</t>
  </si>
  <si>
    <t>JDB8D23</t>
  </si>
  <si>
    <t>REF. A TRÊS PESQUISA COMBO EXPRESA RASTER 7080700 CAVALO JDB8D23 MOT. ALESSANDRO JUNIOR SANTOS DE MATOS SOLC. POR FRANCISCO TICKET 194306 DIA 07-04-2026</t>
  </si>
  <si>
    <t>ANDRE DE CARVALHO PELLEGRINO</t>
  </si>
  <si>
    <t>MZC0F93</t>
  </si>
  <si>
    <t>REF. A DUAS PESQUISA COMBO EXPRESA RASTER 70826270 CAVALO MZC0F93 MOT.ANDRE DE CARVALHO PELLEGRINO  SOLC. POR FRANCISCO TICKET 194308 DIA 07-04-2026</t>
  </si>
  <si>
    <t>DANILO CUSTODIO</t>
  </si>
  <si>
    <t>CNI1C30</t>
  </si>
  <si>
    <t>REF. A DUAS PESQUISA COMBO EXPRESA RASTER 7081332 CAVALO CNI1C30 MOT.DANILO CUSTODIO SOLC. POR FRANCISCO TICKET 194309 DIA 07-04-2026</t>
  </si>
  <si>
    <t>RODINEY RAIMUNDO DE SOUZA</t>
  </si>
  <si>
    <t>KBZ9520</t>
  </si>
  <si>
    <t>REF. A TRÊS PESQUISA COMBO EXPRESA RASTER 7081666 CAVALO KBZ9520 MOT.RODINEY RAIMUNDO DE SOUZA  SOLC. POR FRANCISCO TICKET 194310 DIA 07-04-2026</t>
  </si>
  <si>
    <t>PEDRO IVAN DE CASTRO ALVES</t>
  </si>
  <si>
    <t>JCO9F58</t>
  </si>
  <si>
    <t>REFERENTE A CONSULTA SKYMARK Nº 3839102 - SOLICITAÇÃO JEAN - TICKET Nº 194311 - MOT. PEDRO IVAN DE CASTRO ALVES</t>
  </si>
  <si>
    <t>REFERENTE A CONSULTA OPENTECH (CONJUNTO/MOT) - SOLICITAÇÃO DEBORA - TICKET Nº 194314 - MOT. RONALDO GALVONE DE SALLES</t>
  </si>
  <si>
    <t>REFERENTE A CONSULTA OPENTECH (CONJUNTO/MOT) - SOLICITAÇÃO DEBORA - TICKET Nº 194316 - MOT. EDSON SILVA</t>
  </si>
  <si>
    <t>REFERENTE A CONSULTA OPENTECH (CONJUNTO/MOT) - SOLICITAÇÃO DEBORA - TICKET Nº 194317 - MOT. LEANDRO DO NASCIMENTO 32316953840</t>
  </si>
  <si>
    <t xml:space="preserve">WARLEY PIRES DA SILVA </t>
  </si>
  <si>
    <t>NTN3B27</t>
  </si>
  <si>
    <t xml:space="preserve">REFERENTE A PESQUISA SKYMARK (CONJUNTO/MOT) Nº 3839160 - SOLICITAÇÃO ROBERTA - TICKET Nº 194312 MOT - WARLEY PIRES DA SILVA </t>
  </si>
  <si>
    <t>REEMBOLSO GERENCIADORA DE RISCO</t>
  </si>
  <si>
    <t xml:space="preserve">REFERENTE A CONSULTA OPENTECH (CONJUNTO/MOT) - SOLICITAÇÃO DEBORA - TICKET Nº 194319 - MOT. MARCOS ROBERTO GONCALVES </t>
  </si>
  <si>
    <t>REFERENTE A 2 CONSULTAS RASTER Nº 7090622 - SOLICITAÇÃO VALDIR - TICKET Nº 194321 - MOT. ROBSON ANDREY DE OLIVEIRA SOUZA</t>
  </si>
  <si>
    <t>REFERENTE A CONSULTA OPENTECH (CONJUNTO/MOT) - SOLICITAÇÃO DEBORA - TICKET Nº 194322 - MOT.  MATHEUS TIAGO BELARMINO</t>
  </si>
  <si>
    <t>ANTONIO MARCOS COLACO</t>
  </si>
  <si>
    <t>QJI0J02</t>
  </si>
  <si>
    <t>REFERENTE A CONSULTA OPENTECH (CONJUNTO/MOT) - SOLICITAÇÃO DEBORA - TICKET Nº 194323  - MOT. ANTONIO MARCOS COLACO</t>
  </si>
  <si>
    <t>REFERENTE A CONSULTA OPENTECH (CONJUNTO/MOT) - SOLICITAÇÃO DEBORA - TICKET Nº 194324 - MOT. ROBSON DANIEL PIVETTA</t>
  </si>
  <si>
    <t>AFONSO ELIAS CLAUDINO FILHO</t>
  </si>
  <si>
    <t>KEI9E39</t>
  </si>
  <si>
    <t>REFERENTE A 2 PESQUISAS NORMAL E 1 EXPRESSA COMBO RASTER Nº 7089898 - SOLICITAÇÃO GARBIELA - TICKET Nº 194328 - MOT. AFONSO ELIAS CLAUDINO FILHO</t>
  </si>
  <si>
    <t>WARDEY LIMA DOS SANTOS</t>
  </si>
  <si>
    <t>RNP5D16</t>
  </si>
  <si>
    <t xml:space="preserve">06.01 </t>
  </si>
  <si>
    <t>REFERENTE A PESQUISAS SKYMARK Nº 3839196 - SOLICITAÇÃO MATHEUS -  TICKET Nº 194334 - MOT. WARDEY LIMA DOS SANTOS</t>
  </si>
  <si>
    <t>REFERENTE A 3 CONSULTAS RASTER Nº 7091255 - SOLICITAÇÃO DEBORA - TICKET Nº 194335 - MOT. ALMIRO PROPP</t>
  </si>
  <si>
    <t>REFERENTE A CONSULTA SKYMARK Nº 3839736 - SOLICITAÇÃO MATHEUS - TICKET Nº 194336 - MOT. ANTONIO ESTANISLAU ZOZIMO</t>
  </si>
  <si>
    <t>REFERENTE A 2 CONSULTAS SKYMARK Nº 3839726 - SOLICITAÇÃO THAIS - TICKET Nº 194337 - MOT. EDEMILSON EDSON GARCIA</t>
  </si>
  <si>
    <t>GEORGE TORRES TEIXEIRA MOREIRA</t>
  </si>
  <si>
    <t>HKI6J16</t>
  </si>
  <si>
    <t>REFERENTE A 2 PESQUISAS SKYMARK Nº 3839714 - SOLICITAÇÃO ALESSANDRO - TICKET Nº 194340 - MOT. GEORGE TORRES TEIXEIRA MOREIRA</t>
  </si>
  <si>
    <t>RODRIGO ANTONIO MAIOCHI</t>
  </si>
  <si>
    <t>BBQ1I26</t>
  </si>
  <si>
    <t>REFERENTE A CONSULTA OPENTECH (CONJUNTO/MOT) - SOLICITAÇÃO DEBORA - TICKET Nº  194350 - MOT. RODRIGO ANTONIO MAIOCHI</t>
  </si>
  <si>
    <t>REFERENTE A CONSULTA SKYMARK Nº 3839997 - SOLICIAÇÃO ALESSANDRO - TICKET Nº 194352 - MOT.  WALISSON FERNANDES DE SA</t>
  </si>
  <si>
    <t>ROBERSON ALVES DA CRUZ</t>
  </si>
  <si>
    <t>OWV8H94</t>
  </si>
  <si>
    <t>REFERENTE A CONSULTA SKYMARK Nº 3839994 - SOLICIAÇÃO ALESSANDRO - TICKET Nº 194353 - MOT.  ROBERSON ALVES DA CRUZ</t>
  </si>
  <si>
    <t>REFERENTE A 3 CONSULTAS RASTER Nº 7092797 - SOLICITAÇÃO DEBORA - TICKET Nº 194354 - MOT. ALLAN RICHARD BRAGA BEZA</t>
  </si>
  <si>
    <t>MARCELO SCARAVELLI</t>
  </si>
  <si>
    <t>BNA5D66</t>
  </si>
  <si>
    <t xml:space="preserve">REF. A DUAS PESQUISAS  SYMARK 3839934 - CAVALO BNA5D66- MOT. MARCELO SCAVARELLI SOLIC. POR THAIS TICKET 194357 - DIA 08-04-2026 </t>
  </si>
  <si>
    <t>JOSE VILMAR MUNHOZ PEREIRA</t>
  </si>
  <si>
    <t>QHJ8A84</t>
  </si>
  <si>
    <t>04.05</t>
  </si>
  <si>
    <t>REF. A UMA RDO UMA PESQUISA CONJUNTO OPENTECH CAVALO QHJ8A84 MOT. JOSÉ VILMAR MUNHOZ PEREIRA SOLC. POR GABRIELA- TICKET 194364 - DIA 08-04-2026</t>
  </si>
  <si>
    <t>REF. A CINCO PESQUISAS  SYMARK 3839362 - CAVALO FRW9C15- MOT. PAULO ALBUQUERQUE DA COSTA SOLIC. POR MATHEUS TICKET 194374- DIA 08-04-2026</t>
  </si>
  <si>
    <t>REF. A LIB. OPENTECH - CAVALO MFF9D33 - MOT. VICTOR CASA LORINI - SOLIC. POR DEBORA TICKET 194377 - DIA 08/04/2026</t>
  </si>
  <si>
    <t>FERNANDO LICHTENFELS</t>
  </si>
  <si>
    <t>RXT1B76</t>
  </si>
  <si>
    <t>REF. A UMA RDO TRÊS PESQUISA COMBO NORMAL RASTER 7062881 CAVALO RXT1B76 MOT. FERNANDO LICHTENFELS  SOLC. POR ANTONIO TICKET 194380 DIA 08-04-2026</t>
  </si>
  <si>
    <t>CREMILSON LUIS RANGHETI</t>
  </si>
  <si>
    <t>TQB5A01</t>
  </si>
  <si>
    <t>REF. A UMA RDO UMA PESQUISA CONJUNTO OPENTECH CAVALO TQB5A01 MOT. CREMILSON LUIS RANGHETI SOLC. POR DEBORA - TICKET 194381 - DIA 08-04-202</t>
  </si>
  <si>
    <t>IRANI BOFF</t>
  </si>
  <si>
    <t>IHS0349</t>
  </si>
  <si>
    <t>REF. A TRÊS PESQUISA NORMAL RASTER 7094873 CAVALO IHS0349 MOT. IRANI BOFF SOLC. POR KELIRIN TICKET 194382 DIA 08-04-2026</t>
  </si>
  <si>
    <t>REF. A TRÊS CONSULTAS RASTER 7096263 CAVALO EKJ0A50 MOT. ROGEIO FONTES SOLC. POR MARCELO TICKET 194386 DIA 08-04-2026</t>
  </si>
  <si>
    <t>FABIO FEIJO</t>
  </si>
  <si>
    <t>JAO8B83</t>
  </si>
  <si>
    <t>REF. A TRÊS PESQUISAS COMBO NORMAL RASTER 7095930 CAVALO JAO8B83 MOT. FABIO FEIJO SOLC. POR ISMAEL TICKET 194390 DIA 08-04-2026</t>
  </si>
  <si>
    <t>LUCAS DE SOUZA BARRIONUEVO</t>
  </si>
  <si>
    <t>GJM2E25</t>
  </si>
  <si>
    <t>REF. A UMA RDO DUAS PESQUISAS COMBO NORMAL RASTER 7095926 CAVALO GJM2E25 MOT.LUCAS DE SOUZA BARRIONUEVO  SOLC. POR ISMAEL TICKET 194393 DIA 08-04-2026</t>
  </si>
  <si>
    <t>REF. A TRÊS CONSULTAS RASTER 7097513 CAVALO CPR2F80 MOT.CLAUDIO JOSE DE SOUZA SOLC. POR MARCELO TICKET 194399 DIA 08-04-2026</t>
  </si>
  <si>
    <t>SILVIO ANDRE MARTINS DOS SANTOS</t>
  </si>
  <si>
    <t>KHE3E52</t>
  </si>
  <si>
    <t>REFERENTE A CONSULTA SKYMARK Nº 3842074 - SOLICITAÇÃO ROBERTA - TICKET Nº 194405 - MOT. SILVIO ANDRE MARTINS DOS SANTOS</t>
  </si>
  <si>
    <t>REFERENTE A CONSULTA SKYMARK Nº 3842931 - SOLICITAÇÃO ALESSANDRO - TICKET Nº 194423 - MOT. GLEISON RICARDO ALVES</t>
  </si>
  <si>
    <t>JOAO AUGUSTINHO WALTER</t>
  </si>
  <si>
    <t>SXH3I38</t>
  </si>
  <si>
    <t>REFERENTE A 3 CONSULTAS RASTER Nº 7100354 - SOLICITAÇÃO DEBORA - TICKET Nº  194424 - MOT. JOAO AUGUSTINHO WALTER</t>
  </si>
  <si>
    <t>REFERENTE A 3 CONSULTAS RASTER Nº 7100621 - SOLICITAÇÃO DEBORA - TICKET Nº 194430 - MOT. ROBERTO RAUPP CARDOSO</t>
  </si>
  <si>
    <t>JOSIANO CORREIA FRANCA</t>
  </si>
  <si>
    <t>REF. A UMA RDO DUAS PESQUISAS COMBO EXPRESSA RASTER 7100325 CAVALO RXY3D93 MOT.JOSIANO CORREIA FRANCA SOLC. POR DEBORA TICKET 194437 DIA 09-04-2026</t>
  </si>
  <si>
    <t>RAFAEL JUNIOR BATISTA TYN6J59</t>
  </si>
  <si>
    <t>TYN6J59</t>
  </si>
  <si>
    <t>06.07</t>
  </si>
  <si>
    <t xml:space="preserve">REF. A CINCO PESQUISAS  SYMARK 3843203 - CAVALO TYN6J59- MOT. RAFAEL JUNIOR BATISTA SOLIC. POR DENILSON TICKET 194439- DIA 09-04-2026 </t>
  </si>
  <si>
    <t>PAULO RICARDO DE MENEZES BIZARRO</t>
  </si>
  <si>
    <t>IUI3223</t>
  </si>
  <si>
    <t>REF. A UMA PESQUISA COMBO EXPRESSA DUAS PESQUISAS COMBO NORMAL RASTER 7101093 CAVALO IUI3223 MOT.PAULO RICARDO DE MENEZES BIZARRO SOLC. POR GRAZIELA TICKET 194444 DIA 09-04-2026</t>
  </si>
  <si>
    <t>REF. A TRÊS CONSULTAS RASTER 7102186 CAVALO KIT2101 MOT.ROBERTO RAUPP CARDOSO SOLC. POR FERNANDA TICKET 194447 DIA 09-04-2026</t>
  </si>
  <si>
    <t>REF. A UMA RDO TRÊS PESQUISA CONJUNTO OPENTECH CAVALO AVD9A36 MOT. MARCOS ROBERTO BILATTO SOLC. POR DEBORA - TICKET 194455 - DIA 09-04-2026</t>
  </si>
  <si>
    <t>REF. A TRÊS CONSULTAS RASTER 7102959 CAVALO QID8H19 MOT.FERNANDO PANSERA JUNIOR SOLC. POR ISMAEL TICKET 194458 DIA 09-04-2026</t>
  </si>
  <si>
    <t>LUIS ANTONIO MENDES SANTOS</t>
  </si>
  <si>
    <t>SXP5E29</t>
  </si>
  <si>
    <t>REF. A TRÊS CONSULTAS RASTER 7103001 CAVALO SXP5E29 MOT.LUIS ANTONIO MENDES SANTOS SOLC. POR DEBORA TICKET 194459 DIA 09-04-2026</t>
  </si>
  <si>
    <t>JOSE IVANILDO LEITE</t>
  </si>
  <si>
    <t>AVU0245</t>
  </si>
  <si>
    <t>REF. A TRÊS PESQUISAS COMBO NORMAL RASTER 7101048 CAVALO AVU0245 MOT.JOSE IVANILDO LEITE SOLC. POR MARCELO TICKET 194463 DIA 09-04-2026</t>
  </si>
  <si>
    <t>REFERENTE A 3 CONSULTAS RASTER Nº 7103532 - SOLICITAÇÃO MARCELO - TICKET Nº  194464 - MOT. KESLEY LIRIO HEGGENDORN</t>
  </si>
  <si>
    <t>REF. A UMA PESQUISAS SYMARK 3844411 - CAVALO EFO9B17 - MOT. MIGUEL APARECIDO PEREIRA FILHO SOLIC. POR VITOR HUGO TICKET 194470- DIA 09-04-2026</t>
  </si>
  <si>
    <t>DERLI RAMOS</t>
  </si>
  <si>
    <t>RBI6G93</t>
  </si>
  <si>
    <t>REF. A DUAS PESQUISAS COMBO EXPRESSA RASTER 7104764 CAVALO RBI6G93 MOT.DERLI RAMOS SOLC. POR RAFAEL TICKET 194479 DIA 09-04-2026</t>
  </si>
  <si>
    <t>06.08</t>
  </si>
  <si>
    <t>REFERENTE A 3 CONSULTAS SKYMARK Nº 3845468 - SOLICITAÇÃO CRISLAINE - TICKET Nº 194484 - MOT. BRUNO ARCANJO MARTINS</t>
  </si>
  <si>
    <t>MDF2127</t>
  </si>
  <si>
    <t>REFERENTE A 2 CONSULTAS RASTER Nº 7112811 - SOLICITAÇÃO KERILIN - TICKET Nº 194485 - MOT. MARCELO ROMERO</t>
  </si>
  <si>
    <t>REFERENTE A CONSULTA OPENTECH (CONJUNTO/MOT) - SOLICITAÇÃO DEBORA - TICKET Nº 194488 - MOT. CLAUDINEI ROBERTO ROCHA</t>
  </si>
  <si>
    <t>EDEMAR NECKEL</t>
  </si>
  <si>
    <t>RYZ0D16</t>
  </si>
  <si>
    <t>REFERENTE A CONSULTA OPENTECH (CONJUNTO/MOT) - SOLICITAÇÃO DEBORA - TICKET Nº 194489 - MOT. EDEMAR NECKEL</t>
  </si>
  <si>
    <t>RODRIGO ALBUQUERQUE DE SOUZA</t>
  </si>
  <si>
    <t>IWT8D17</t>
  </si>
  <si>
    <t>REFERENTE A CONSULTA OPENTECH (CONJUNTO/MOT) - SOLICITAÇÃO DEBORA - TICKET Nº 194493 - MOT. RODRIGO ALBUQUERQUE DE SOUZA</t>
  </si>
  <si>
    <t>ALAN AGUERO DA SILVA</t>
  </si>
  <si>
    <t>DTD3698</t>
  </si>
  <si>
    <t>04.09</t>
  </si>
  <si>
    <t>REFERENTE A 2 PESQUISAS NORMAL 1 RDO RASTER Nº 7103199 - SOLICITAÇÃO MARCELLI - TICKET Nº 194495 - MOT. ALAN AGUERO DA SILVA</t>
  </si>
  <si>
    <t>RICARDO ALVES DAMASCENO</t>
  </si>
  <si>
    <t>ELW0G38</t>
  </si>
  <si>
    <t>REFERENTE A CONSULTA SKYMARK Nº 3846239 - SOLICITAÇÃO ALESSANDRO - TICKET Nº 194499 - MOT. RICARDO ALVES DAMASCENO</t>
  </si>
  <si>
    <t>WANDERSON SILVA MIRANDA</t>
  </si>
  <si>
    <t>HIF4637</t>
  </si>
  <si>
    <t>REFERENTE A CONSULTA OPENTECH (CONJUNTO/MOT) - SOLICITAÇÃO DEBORA - TICKET Nº 194508 - MOT. WANDERSON SILVA MIRANDA</t>
  </si>
  <si>
    <t xml:space="preserve">REFERENTE A CONSULTA OPENTECH (CONJUNTO/MOT) - SOLICITAÇÃO DEBORA - TICKET Nº 194509 - MOT. FABIO EDUARDO ROSSI </t>
  </si>
  <si>
    <t>FABRICIO BARBOSA DOS SANTOS</t>
  </si>
  <si>
    <t>CVN9J35</t>
  </si>
  <si>
    <t>REF. A TRÊS CONSULTAS RASTER 7113755 - CAVALO CVN9J35 - MOT. FABRICIO BARBOSA DOS SANTOS - SOLIC. POR EDVAN TICKET 194523 - DIA 10/04/2026</t>
  </si>
  <si>
    <t>ADELTON SANTIAGO DE ALMEIDA</t>
  </si>
  <si>
    <t>NZQ8A80</t>
  </si>
  <si>
    <t>REF. A TRÊS CONSULTAS RASTER 7115872 - CAVALO NZQ8A80- MOT. ADELTON SANTIAGO DE ALMEIDA - SOLIC. POR UELDER TICKET  194522 - DIA 10/04/2026</t>
  </si>
  <si>
    <t>PHABLO FERREIRA LIMA SILVA</t>
  </si>
  <si>
    <t>CUC5H88</t>
  </si>
  <si>
    <t>REF. A UMA RDO DUAS PESQUISAS COMBO EXPRESSA RASTER 7113670 CAVALO CUC5H88 MOT.PHABLO FERREIRA LIMA SILVA SOLC. POR DEBORA TICKET 194525 DIA 10-04-2026</t>
  </si>
  <si>
    <t>UEDERSON FERREIRA SARAIVA</t>
  </si>
  <si>
    <t>ONN9C47</t>
  </si>
  <si>
    <t>REFERENTE A 2 PESQUISAS NORMAL E 1 RDO RASTER Nº 7114478 - SOLICITAÇÃO ERCIK - TICKET Nº 194532 - MOT. UEDERSON FERREIRA SARAIVA</t>
  </si>
  <si>
    <t>LUCAS DE FRANCA</t>
  </si>
  <si>
    <t>EJY8525</t>
  </si>
  <si>
    <t>REF. A UMA RDO DUAS PESQUISAS COMBO EXPRESSA RASTER 7114872 CAVALO EJY8525 MOT.LUCAS DE FRANCA SOLC. POR DEBORA TICKET 194530 DIA 10-04-2026</t>
  </si>
  <si>
    <t>JONAS DUARTE DE VARGAS</t>
  </si>
  <si>
    <t>BAC0H73</t>
  </si>
  <si>
    <t>REF. A UMA RDO DUAS PESQUISAS COMBO EXPRESSA RASTER 7115211 CAVALO BAC0H73 MOT.JONAS DUARTE DE VARGAS SOLC. POR DEBORA TICKET 194536 DIA 10-04-202</t>
  </si>
  <si>
    <t>REF. A TRÊS CONSULTAS EXPRESSA RASTER 7116915 CAVALO CPR2F80 MOT.CLAUDIO JOSE DE SOUZA SOLC. POR MARCELO TICKET 194537 DIA 10-04-2026</t>
  </si>
  <si>
    <t>REF. A TRÊS CONSULTAS EXPRESSA RASTER 7116942 CAVALO EKJ0A50 MOT.ROGERIO FONTES SOLC. POR MARCELO TICKET 194538 DIA 10-04-2026</t>
  </si>
  <si>
    <t>LUCIANO NARDE LEAL</t>
  </si>
  <si>
    <t>GEE4C42</t>
  </si>
  <si>
    <t>REFERENTE A 3 CONSULTAS RASTER Nº 7116291 - SOLICITAÇÃO UELDER - TICKET Nº 194541 - MOT.  LUCIANO NARDE LEAL</t>
  </si>
  <si>
    <t>REFERENTE A CONSULTA OPENTECH (CONJUNTO/MOT) - SOLICITAÇÃO DEBORA - TICKET Nº 194545 - MOT SILVIO ANDRE MARTINS DOS SANTOS</t>
  </si>
  <si>
    <t>WAGNER GOMES DA CRUZ</t>
  </si>
  <si>
    <t>DPF0990</t>
  </si>
  <si>
    <t>REFERENTE A 3 CONSULTAS RASTER Nº 7117772 - SOLICITAÇÃO DEBORA - TICKET Nº 194550 - MOT. WAGNER GOMES DA CRUZ</t>
  </si>
  <si>
    <t>REF. A TRÊS PESQUISAS SYMARK 3848223 - CAVALO CSQ8956 - MOT. WALDEMAR BRAILA SOLIC. POR VITOR HUGO TICKET 194548- DIA 10-04-2026</t>
  </si>
  <si>
    <t xml:space="preserve">REF. A UMA PESQUISAS SYMARK 3848428 - CAVALO HMV4C65 - MOT. ANTONIO ESTANISLAU ZOZIMO SOLIC. POR MATHEUS TICKET 194551- DIA 10-04-2026 </t>
  </si>
  <si>
    <t>TARCISO RIBEIRO ANDRADE</t>
  </si>
  <si>
    <t>QNY2H76</t>
  </si>
  <si>
    <t>REF. A UMA RDO DUAS PESQUISAS NORMAL RASTER 7114274 CAVALO QNY2H76 MOT.TARCISO RIBEIRO ANDRADE SOLC. POR ERICK TICKET 194564 DIA 10-04-2026</t>
  </si>
  <si>
    <t>REFERENTE A 3 CONSULTAS RASTER Nº 7137480 - SOLICITAÇÃO ERICK - TICKET Nº 194596 - MOT. EDICLEITON DA SILVA MOREIRA</t>
  </si>
  <si>
    <t>REFERENTE A 3 CONSULTAS RASTER Nº 7167549 - SOLICITAÇÃO ISMAEL - TICKET Nº 194600 - MOT. FERNANDO PANSERA JUNIOR</t>
  </si>
  <si>
    <t>ELIAS EMANUEL PASTORE</t>
  </si>
  <si>
    <t>CUD6I78</t>
  </si>
  <si>
    <t>REFERENTE A PESQUISA OPENTECH (CONJUNTO/MOT) - SOLICITAÇÃO DEBORA - TICKET Nº 194609 - MOT.  ELIAS EMANUEL PASTORE</t>
  </si>
  <si>
    <t>REFERENTE A CONSULTA OPENTECH (CONJUNTO/MOT) - SOLICITAÇÃO DEBORA - TICKET Nº 194613 - MOT.  RONALDO GALVONE DE SALLES</t>
  </si>
  <si>
    <t>ALBERT LUIZ MOGNON</t>
  </si>
  <si>
    <t>DJF3H05</t>
  </si>
  <si>
    <t>REFERENTE A CONSULTA OPENTECH (CONJUNTO/MOT) - SOLICITAÇÃO DEBORA - TICKET Nº 194618 - MOT.  ALBERT LUIZ MOGNON</t>
  </si>
  <si>
    <t>REFERENTE A CONSULTA OPENTECH (CONJUNTO/MOT) - SOLICITAÇÃO DEBORA - TICKET Nº 194619 - MOT. ANTONIO MARCOS COLACO</t>
  </si>
  <si>
    <t>REFERENTE A CONSULTA SKYMARK Nº 3852293 - SOLICITAÇÃO MATHEUS - TICKET Nº 194624 - MOT. ANTONIO ESTANISLAU ZOZIMO</t>
  </si>
  <si>
    <t>REFERENTE A CONSULTA OPENTECH (CONJUNTO/MOT) - SOLICITAÇÃO DEBORA - TICKET Nº 194626 - MOT. MARCIO LOPES PEREIRA</t>
  </si>
  <si>
    <t>LUIZ HENRIQUE TAVARES PASSOS</t>
  </si>
  <si>
    <t>UER4G70</t>
  </si>
  <si>
    <t>REFERENTE A 2 CONSULTAS RASTER Nº 7139524 - SOLICITAÇÃO GRAZIELE - TICKET Nº 194627 - MOT.  LUIZ HENRIQUE TAVARES PASSOS</t>
  </si>
  <si>
    <t>NELSON FILHO SOUZA SANTOS</t>
  </si>
  <si>
    <t>JQK8939</t>
  </si>
  <si>
    <t>REFERENTE A 3 CONSULTAS RASTER Nº 7137698 - SOLICITAÇÃO EDVAN - TICKET Nº 194630 - MOT. NELSON FILHO SOUZA SANTOS</t>
  </si>
  <si>
    <t>ADEMAR POLLI</t>
  </si>
  <si>
    <t>GHA7H50</t>
  </si>
  <si>
    <t>REFERENTE A CONSULTA OPENTECH (CONJUNTO/MOT) - SOLICITAÇÃO DEBORA - TICKET Nº 194635 - MOT. ADEMAR POLLI</t>
  </si>
  <si>
    <t>REF. A DUAS CONSULTAS RASTER 7140519 CAVALO HRO1D186 MOT.LEANDRO MUNHOZ BALLERO SOLC. POR THALIA TICKET 194634 DIA 13-04-2026</t>
  </si>
  <si>
    <t xml:space="preserve"> MARCIONE BEHENCK SELAU</t>
  </si>
  <si>
    <t>RLF0F30</t>
  </si>
  <si>
    <t>REF. A TRÊS PESQUISAS COMBO NORMAL RASTER 7140818 CAVALO RLF0F30 MOT. MARCIONE BEHENCK SELAU SOLC.POR ISMAEL TICKET 194640 DIA 13-04-2026</t>
  </si>
  <si>
    <t>CHARLES BITENCOURT</t>
  </si>
  <si>
    <t>QII8E20</t>
  </si>
  <si>
    <t>REFERENTE A 2 PESQUISAS NORMAL 1 RDO RASTER Nº 7140104 - SOLICITAÇÃO GABRIEL - TICKET Nº  194648 - MOT. CHARLES BITENCOURT</t>
  </si>
  <si>
    <t>REF. A TRÊS CONSULTAS RASTER 7141763 CAVALO IHS0349 MOT. IRANI BOFF SOLC.POR KELIRIN TICKET 194649 DIA 13-04-2026</t>
  </si>
  <si>
    <t>REFERENTE A 3 CONSULTAS RASTER Nº 7141813 - SOLICITAÇÃO KERILIN - MOT. HAMILTON VALDEMAR BOCK</t>
  </si>
  <si>
    <t>REFERENTE A 3 CONSULTAS RASTER Nº  71411942 - SOLICUITAÇÃO MARCELO - TICEKT Nº 195653 - MOT. CLAUDIO JOSE DE SOUZA</t>
  </si>
  <si>
    <t>REFERENTE A 3 CONSULTAS RASTER Nº 7141963 - SOLICITAÇÃO MARCELO - TICKET Nº  194654 - MOT. ROGERIO FONTES</t>
  </si>
  <si>
    <t>RODRIGO LIMA SOUZA</t>
  </si>
  <si>
    <t>MIP4C80</t>
  </si>
  <si>
    <t>REF. A TRÊS PESQUISAS COMBO NORMAL RASTER 7140933 CAVALO MIP4C80 MOT. DANIEL AFONSO SAATH SOLC.POR GABRIEL TICKET 194655 DIA 13-04-2026</t>
  </si>
  <si>
    <t>REF. A TRÊS PESQUISAS COMBO EXPRESSA RASTER 7141608 CAVALO CUC5H88 MOT. PHABLO FERREIRA LIMA SILVA SOLC.POR DEBORA TICKET 194657 DIA 13-04-2026</t>
  </si>
  <si>
    <t>REF. A UMA LIBERAÇÃO AUTONOMA SYMARK 3853760 - CAVALO EFO9B17 - MOT. MIGUEL APARECIDO PEREIRA FILHO  SOLIC. POR VITOR HUGO TICKET 194659- DIA 13-04-2026</t>
  </si>
  <si>
    <t>ROBERTO DE SOUZA</t>
  </si>
  <si>
    <t>BEW4A46</t>
  </si>
  <si>
    <t>REFERENTE A 4 CONSULTAS RASTER Nº 7142927 - SOLICITAÇÃO EDVAN - TICKET  Nº 194661 - MOT. ROBERTO DE SOUZA</t>
  </si>
  <si>
    <t>JUNIO DE ARAUJO NASCIMENTO</t>
  </si>
  <si>
    <t>HER5G20</t>
  </si>
  <si>
    <t>REFERENTE A CONSULTA SKYMARK Nº 3853938 - SOLICITAÇÃO ALESSANDRO - TICKET Nº  194663 - MOT. JUNIO DE ARAUJO NASCIMENTO</t>
  </si>
  <si>
    <t>DJONATHAN DA ROCHA DE ANDRADE PEREIR</t>
  </si>
  <si>
    <t>IOA9E50</t>
  </si>
  <si>
    <t>REF. A UMA RDO DUAS PESQUISAS COMBO EXPRESSA RASTER 7142133 CAVALO IOA9E50 MOT. DJONATHAN DA ROCHA DE ANDRADE PEREIRA SOLC.POR DEBORA TICKET 194643 DIA 13-04-2026</t>
  </si>
  <si>
    <t>JOAO ETERNO RODRIGUES DA SILVA</t>
  </si>
  <si>
    <t>OPM0E60</t>
  </si>
  <si>
    <t>REFERENTE A 2 PESQUISAS NORMAL COMBO 1 RDO RASTER Nº 7138654 - SOLICITAÇÃO  ERICK - TICKET Nº  194676 - MOT. JOAO ETERNO RODRIGUES DA SILVA</t>
  </si>
  <si>
    <t>REF. A UMA RDO DUAS PESQUISAS COMBO EXPRESSA RASTER 7142073 CAVALO GHA7H50 MOT. ADEMAR POLLI SOLC.POR DANIEL TICKET 194679 DIA 13-04-2026</t>
  </si>
  <si>
    <t>ROBERTO SILVANO DA SILVA</t>
  </si>
  <si>
    <t>JJJ9C50</t>
  </si>
  <si>
    <t>REF. A UMA RDO DUAS PESQUISAS COMBO NORMAL RASTER 7138594 CAVALO JJJ9C50 MOT. ROBERTO SILVANO DA SILVA SOLC.POR ERICK TICKET 194682 DIA 13-04-2026</t>
  </si>
  <si>
    <t>REF. A DUAS CONSULTAS RASTER 7143917 CAVALO BTA7074 MOT. ANTONIO ALVES DE LIMA SOLC.POR FRANCISCO TICKET 194691 DIA 13-04-2026</t>
  </si>
  <si>
    <t>FLADEMIR CARLOS GODOI</t>
  </si>
  <si>
    <t>EUC6G62</t>
  </si>
  <si>
    <t>REF. A TRÊS PESQUISAS COMBO EXPRESSA RASTER 7141532 CAVALO EUC6G62 MOT. FLADEMIR CARLOS GODOI SOLC.POR JEFERSON  TICKET 194692 DIA 13-04-2026</t>
  </si>
  <si>
    <t>GUSTAVO BRAZ SESSIM</t>
  </si>
  <si>
    <t>MKH8502</t>
  </si>
  <si>
    <t>REF. A DUAS CONSULTAS RASTER 7144352 CAVALO MKH8502 MOT. GUSTAVO BRAZ SESSIM SOLC.POR JOÃO PEDRO TICKET 194708 DIA 13-04-2026</t>
  </si>
  <si>
    <t>GERSON CALLEGARI XAVIER</t>
  </si>
  <si>
    <t>NTS3E09</t>
  </si>
  <si>
    <t>REF. A UMA RDO E UMA  CONSULTAS RASTER 7144534 CAVALO NTS3E09 MOT. GERSON CALLEGARI XAVIER SOLC.POR JOÃO PEDRO TICKET 194718 DIA 13-04-2026</t>
  </si>
  <si>
    <t>REFERENTE A 1 CONSULTA SKYMARK (CONJUNTO/MOT) Nº  3855038 - SOLICITAÇÃO MATHEUS - TICKET Nº 194730 - MOT. WENDELL PEREIRA DO CARMO</t>
  </si>
  <si>
    <t>REFERENTE A 1 CONSULTA SKYMARK (CONJUNTO/MOT) Nº 3855102 - SOLICITAÇÃO ALESSANDRO - TICKET Nº 194735 - MOT. SILVIO ANDRE MARTINS DOS SANTOS</t>
  </si>
  <si>
    <t>REFERENTE A 3 CONSULTAS RASTER  Nº 7147420 - SOLICITAÇÃO DEBORA - TICKET Nº 194745 - MOT. FABIO FEIJO</t>
  </si>
  <si>
    <t>REFERENTE A CONSULTA SKYMARK Nº 3855946 - SOLICITAÇÃO THAIS - TICKET Nº  194762 - MOT. EDEMILSON EDSON GARCIA</t>
  </si>
  <si>
    <t>ALEX SANDRO DABOIT DA SILVA</t>
  </si>
  <si>
    <t>TRA2D94</t>
  </si>
  <si>
    <t>REFERENTE A 3 PESQUISAS NORMAL RASTER Nº 7148113 - SOLICITAÇÃO ISMAEL - TICKET Nº 194763 - MOT. ALEX SANDRO DABOIT DA SILVA</t>
  </si>
  <si>
    <t>REFERENTE A 3 CONSULTAS RASTER Nº 7419545 - SOLICITAÇÃO DEBORA - TICKET Nº  194771 - MOT. ROBERTO RAUPP CARDOSO</t>
  </si>
  <si>
    <t>MAURICIO RICARDO PEDROSO</t>
  </si>
  <si>
    <t>FEI6J28</t>
  </si>
  <si>
    <t>REF. A UMA RDO DUAS PESQUISAS COMBO EXPRESSA RASTER 7148982 CAVALO FEI6J28 MOT. MAURICIO RICARDO PEDROSO SOLC.POR DEBORA TICKET 194778 DIA 14-04-2026</t>
  </si>
  <si>
    <t>EDMILSON LUIS ROCON</t>
  </si>
  <si>
    <t>AED3168</t>
  </si>
  <si>
    <t>REF. A TRÊS PESQUISAS COMBO EXPRESSA RASTER 7148982 CAVALO AED3168 MOT. EDMILSON LUIS ROCON  SOLC.POR THIAGO TICKET 194783 DIA 14-04-2026</t>
  </si>
  <si>
    <t>JUNIOR CESAR WERNER DE ANDRADE</t>
  </si>
  <si>
    <t>QJA4A78</t>
  </si>
  <si>
    <t>REF. A UMA RDO DUAS PESQUISAS COMBO EXPRESSA RASTER 7147899  CAVALO QJA4A78 MOT. JUNIOR CESAR WERNWE DE ANDRADE SOLC.POR DEBORA  TICKET 194785 DIA 14-04-2026</t>
  </si>
  <si>
    <t>WESLEY CAMILO DA FONSECA</t>
  </si>
  <si>
    <t>HIJ9235</t>
  </si>
  <si>
    <t>REFERENTE A 4 PESQUISAS SKYMARK Nº 3854569 - SOLICITAÇÃO DENILSON - TICEKT Nº 194787- MOT.  WESLEY CAMILO DA FONSECA</t>
  </si>
  <si>
    <t>EVILASIO PACHECO</t>
  </si>
  <si>
    <t>TPQ9J52</t>
  </si>
  <si>
    <t>REF. A TRÊS PESQUISAS COMBO EXPRESSA RASTER 7147899  CAVALO TPQ9J52 MOT. EVILASIO PACHECO SOLC.POR DEBORA TICKET 194790 DIA 14-04-2026</t>
  </si>
  <si>
    <t>FABIANO PEREIRA 000</t>
  </si>
  <si>
    <t>TQY7B68</t>
  </si>
  <si>
    <t>REFERENTE A 2 PESQUISAS NORMAL E 1 EXPRESSA COMBO RASTER Nº 7150735 - SOLICITAÇÃO GABRIELA - TICEKT Nº 194791 - MOT. FABIANO PEREIRA</t>
  </si>
  <si>
    <t xml:space="preserve">REFERENTE A 3 PESQUISAS EXPRESSAS RASTER Nº 7150622 - SOLICITAÇÃO DEBORA - TICKET Nº 194795 - MOT. MARCOS ROBERTO </t>
  </si>
  <si>
    <t>DIEGO ANDRE COELHO</t>
  </si>
  <si>
    <t>AJH9398</t>
  </si>
  <si>
    <t>04.14</t>
  </si>
  <si>
    <t>REFERENTE A 2 PESQUISAS NORMAL COMBO 1 RDO RASTER Nº 7116633 - SOLICITAÇÃO DANIEL - TICKET Nº 194797 - MOT. DIEGO ANDRE COELHO</t>
  </si>
  <si>
    <t>NILSON ROSA BOM</t>
  </si>
  <si>
    <t>IGQ2977</t>
  </si>
  <si>
    <t>06.14</t>
  </si>
  <si>
    <t>REFERENTE A 3 CONSULTAS RASTER Nº 7151387 - SOLICITAÇÃO SANDRO - TICEKT Nº 194802 - MOT. NILSON ROSA</t>
  </si>
  <si>
    <t>REFERENTE A 3 CONSULTAS RASTER Nº 7151408 - SOLICITAÇÃO SANDRO - TICEKT Nº 194803 - MOT. HEBER RODRIGUEZ MUNIZ</t>
  </si>
  <si>
    <t>RAFAEL COUTINHO DA SILVA</t>
  </si>
  <si>
    <t>EFU9A74</t>
  </si>
  <si>
    <t>REFERENTE A 2 PESQUISAS EXPRESSAS COMBO RASTER Nº 7151862 - SOLICITAÇÃO VALMIR - TICKET Nº  194813 - MOT. RAFAEL COUTINHO DA SILVA</t>
  </si>
  <si>
    <t>REFERENTE A CONSULTA OPENTECH (CONJUNTO/MOT) - SOLICITAÇÃO AYSLAN  - TICKET Nº 194814 - MOT. VICTOR CASA LORINI</t>
  </si>
  <si>
    <t>LUCAS SILVA DOS SANTOS</t>
  </si>
  <si>
    <t>MJK1F19</t>
  </si>
  <si>
    <t>REF. A UMA PESQUISAS COMBO EXPRESSA E UMA NORNAL RASTER 7151019 CAVALO MJK1F19 MOT. LUCAS SILVA DOS SANTOS SOLC.POR GABRIELA  TICKET 194815 DIA 14-04-2026</t>
  </si>
  <si>
    <t>ALEXANDRE DONIZETE DE MACEDO</t>
  </si>
  <si>
    <t>JAU4J62</t>
  </si>
  <si>
    <t>REF. A TRÊS PESQUISAS COMBO EXPRESSA RASTER 7151822 CAVALO JAU4J62 MOT. ALEXANDRE DONIZETE DE MACEDO SOLC.POR FRANCISCO  TICKET 194819 DIA 14-04-2026</t>
  </si>
  <si>
    <t>JOAO VICTOR MORAES</t>
  </si>
  <si>
    <t>EGJ2H49</t>
  </si>
  <si>
    <t>REF. A TRÊS PESQUISAS COMBO EXPRESSA RASTER 7151054 CAVALO EGJ2H49 MOT. JOÃO VITOR DE MORAES SOLC.POR FRANCISCO  TICKET 194820 DIA 14-04-</t>
  </si>
  <si>
    <t>DIVANEI MARTINEZ</t>
  </si>
  <si>
    <t>BDR1D57</t>
  </si>
  <si>
    <t>REF. A UMA RDO UMA CONSULTA RASTER 7153807 CAVALO BDR1D57 MOT. DIVANEI MARTINEZ SOLC.POR FRANCISCO  TICKET 194823 DIA 14-04-2026</t>
  </si>
  <si>
    <t>REFERENTE A 2 CONSULTAS RASTER Nº 7154064 - SOLICITAÇÃO FABIANA - TICKET Nº 194825 - MOT. DERLI RAMOS</t>
  </si>
  <si>
    <t>REFERENTE A 2 CONSULTAS RASTER Nº 7154068 - SOLICITAÇÃO FABIANA - TICKET Nº 194826 - MOT. GERSON CALLEGARI XAVIER</t>
  </si>
  <si>
    <t>REFERENTE A CONSULTA SKYMARK Nº 3858658 - SOLICITAÇÃO ROBERTA - TICKET Nº - MOT. MARIO PEREIRA DA SILVA</t>
  </si>
  <si>
    <t>REFERENTE A 3 CONSULTAS RASTER Nº 7160746 - SOLICITAÇÃO ERICK - TICKET Nº 194830 - MOT. ROBERTO SILVANO DA SILVA</t>
  </si>
  <si>
    <t>REFERENTE A CONSULTA OPENTECH (CONJUNTO/MOT) - SOLICITAÇÃO DEBORA - TICKET Nº 194831 - MOT. CLAUDINEI ROBERTO ROCHA</t>
  </si>
  <si>
    <t>REFERENTE A 3 CONSULTAS RASTER Nº 7160753 - SOLICITAÇÃO ERICK - TICKET Nº 194832 - MOT. JOAO ETERNO RODRIGUES DA SILVA</t>
  </si>
  <si>
    <t>REFERENTE A CONSULTA OPENTECH (CONJUNTO/MOT) - SOLICITAÇÃO DEBORA - TICKET Nº 194835 - MOT. LEANDRO DO NASCIMENTO 32316953840</t>
  </si>
  <si>
    <t>GEAN ARRUDA DA LUZ</t>
  </si>
  <si>
    <t>TJW4J00</t>
  </si>
  <si>
    <t>05.02</t>
  </si>
  <si>
    <t>REF A 2 PESQUISA COMBO EXPRESSA 7160461 + PESQUISA+ 7160460, SOLIC P DEBORA, TICKET 194854 - MOT GEAN ARRUDA DA LUZ</t>
  </si>
  <si>
    <t>REF.: 1 PESQ + 2 CONS RASTER SOLIC P DEBORA VIA TICKET  194851 - MT  MARCOS ROBERTO BILATTO</t>
  </si>
  <si>
    <t>MANOEL RODRIGUES DA SILVA</t>
  </si>
  <si>
    <t>AYA4109</t>
  </si>
  <si>
    <t>REFERENTE A CONSULTA OPENTECH (CONJUNTO/MOT) - SOLICITAÇÃO DEBORA - TICKET Nº 194840 - MOT.  MANOEL RODRIGUES DA SILVA</t>
  </si>
  <si>
    <t>VANDERSON JAIR DOS REIS</t>
  </si>
  <si>
    <t>OHU4I97</t>
  </si>
  <si>
    <t>REF A 2 PESQUISAS COMBO NORMAL 7153080 + PESAUISA COMBO EXPRESSA 7153079, SOLIC P GABRIELA, TICKET 194844 - MOT  VANDERSON JAIR DOS REIS</t>
  </si>
  <si>
    <t>REFERENTE A CONSULTA SKYMARK Nº 3858875 - SOLICITAÇÃO MATHEUS - TICKET Nº 194482 - MOT. ANTONIO ESTANISLAU ZOZIMO</t>
  </si>
  <si>
    <t>REFERENTE A 3 CONSULTAS RASTER Nº 7161914 - SOLICITAÇÃO DEBORA - TICKET Nº 194846 - MOT. PHABLO FERREIRA LIMA SILVA</t>
  </si>
  <si>
    <t>LIVIOMAR RABELO FILHO</t>
  </si>
  <si>
    <t>OOF0E73</t>
  </si>
  <si>
    <t>REFERENTE A 3 PESQUISAS EXPRESSAS RASTER Nº 7162450 - SOLICITAÇÃO FRANCISCO - TICKET Nº 194859 -MOT. LIVIOMAR RABELO FILHO</t>
  </si>
  <si>
    <t>REFERENTE A 3 CONSULTAS RASTER Nº 7162872 - SOLICITAÇÃO MARCELO - TICKET Nº 194862 - MOT. CLAUDIO JOSE DE SOUZA</t>
  </si>
  <si>
    <t>REFERENTE A CONSULTA SKYMARK Nº 3859616 - SOLICITAÇÃO VITOR - TICKET Nº 194863 - MOT. MIGUEL APARECIDO PEREIRA FILHO</t>
  </si>
  <si>
    <t>REFERENTE A 2 CONSULTAS 1 PESQUISA EXPRESSA RASTER Nº 7163066 - SOLICITAÇÃO DEBORA - TICKET Nº 194865 - MOT. MARCOS ROBERTO GONCALVES</t>
  </si>
  <si>
    <t xml:space="preserve">REF. A UMA LIBERAÇÃO AUTONOMA SYMARK 3858711 - CAVALO RTS9D01 - MOT. WEMERSON GUSTAVO MATOZO SOLIC. POR MATHEUS TICKET 194867- DIA 15-04-2026 </t>
  </si>
  <si>
    <t>ARLEY COELHO DE SOUZA</t>
  </si>
  <si>
    <t>QUY2801</t>
  </si>
  <si>
    <t>REF. A UMA RDO UMA PESQUISA COMBO NORMAL RASTER 7161542 CAVALO QUY2801 MOT. ARLEY COELHO DE SOUZA SOLC.POR ERICK TICKET 194872 DIA 15-04-2026</t>
  </si>
  <si>
    <t>MAICO MARIANO DO AMARAL</t>
  </si>
  <si>
    <t>TRB4J66</t>
  </si>
  <si>
    <t>REF. A TRÊS PESQUISA COMBO EXPRESSA RASTER 7163438 CAVALO TRB4J66 MOT. MAICO MARIANO DO AMARAL SOLC.POR DEBORA TICKET 194873 DIA 15-04-2026</t>
  </si>
  <si>
    <t>LUIS PAULO DOS SANTOS PORTO</t>
  </si>
  <si>
    <t>QHK5B67</t>
  </si>
  <si>
    <t>REF. A UMA RDO DUAS  PESQUISA AVULSA EXPRESSA RASTER 7162412 CAVALO QHK5B67 MOT. LUIS PAULO DOS SANTOS PORTO SOLC.POR DEBORA TICKET 194877 DIA 15-04-2026</t>
  </si>
  <si>
    <t>ULISSES ALBERTO ALCANTARA</t>
  </si>
  <si>
    <t>RNJ2B05</t>
  </si>
  <si>
    <t>REFERENTE A 2 PESQUISAS NORMAL E 1 RDO RASTER Nº 7163217 - SOLICITAÇÃO ERICK - TICKET Nº  194881 - MOT. ULISSES ALBERTO ALCANTARA</t>
  </si>
  <si>
    <t>PAULO GILMAR VIDAL</t>
  </si>
  <si>
    <t>IGM9B90</t>
  </si>
  <si>
    <t>REFERENTE A 3 PESQUISAS NORMAL AVULSA RASTER Nº 7163469 - SOLICITAÇÃO KERILIN - TICKET Nº 194883 - MOT. PAULO GILMAR VIDAL</t>
  </si>
  <si>
    <t>EDVALDO SILVA DE OLIVEIRA</t>
  </si>
  <si>
    <t>GBO0G31</t>
  </si>
  <si>
    <t>REFERENTE A 2 PESQUISAS NORMAL AVULSA 1 RDO RASTER Nº 7162572 - SOLICITAÇÃO ERICK - TICKET Nº  194885 - MOT. EDVALDO SILVA DE OLIVEIRA</t>
  </si>
  <si>
    <t>LUIZ ZEFERINO DOS SANTOS</t>
  </si>
  <si>
    <t>GKI0673</t>
  </si>
  <si>
    <t>REFERENTE A 2 PESQUISAS EXPRESSAS COMBO RASTER Nº 7164368 - SOLICITAÇÃO VALMIR - TICKET Nº 194888 - MOT. LUIZ ZEFERINO DOS SANTOS</t>
  </si>
  <si>
    <t>RNQ7G61</t>
  </si>
  <si>
    <t xml:space="preserve">REF. A QUATRO LIBERAÇÃO AUTONOMA SYMARK 3860862 CAVALO RNQ7G61 MOT.GLEISON RICARDO ALVES SOLIC. POR ALESSANDRO TICKET 194893 DIA 15-04-2026 </t>
  </si>
  <si>
    <t>FELIPE GONÇALVES DA SILVA</t>
  </si>
  <si>
    <t>RLA8J93</t>
  </si>
  <si>
    <t>REF. A TRÊS PESQUISA COMBO NORMAL RASTER 7165692 CAVALO RLA8J93 MOT. FELIPE GONÇALVES DA SILVA SOLC.POR GABRIEL TICKET 194895 DIA 15-04-2026</t>
  </si>
  <si>
    <t>ANDRE LUIZ RODRIGUES SABARA</t>
  </si>
  <si>
    <t>SHC7G98</t>
  </si>
  <si>
    <t xml:space="preserve">REF. A UMA LIBERAÇÃO AUTONOMA SYMARK 3861141 CAVALO SHC7G98 MOT.ANDRÉ LUIZ RODRIGUES SABARA SOLIC. POR VALNEI TICKET 194898 DIA 15-04-2026 </t>
  </si>
  <si>
    <t xml:space="preserve">REFERENTE A 2 CONSULTAS RASTER Nº 7167052 - SOLICITAÇÃO JOÃO PEDRO - TICKET Nº 194900 - MOT. JESSE LUCIO ALVES DA SILVA </t>
  </si>
  <si>
    <t>VAGNER DE CARVALHO LINS</t>
  </si>
  <si>
    <t>FSR2J21</t>
  </si>
  <si>
    <t xml:space="preserve">REFERENTE A 2 CONSULTAS RASTER Nº 7168744 - SOLICITAÇÃO JOÃO PEDRO - TICKET Nº  194901 - MOT. VAGNER DE CARVALHO LINS </t>
  </si>
  <si>
    <t xml:space="preserve">LEONARDO DA SILVA PRADO </t>
  </si>
  <si>
    <t>GIV4C22</t>
  </si>
  <si>
    <t>REFERENTE A 2 CONSULTAS RASTER Nº 7168783 - SOLICITAÇÃO JOÃO PEDRO - TICKET Nº 194902 - MOT. LEONARDO DA SILVA PRADO</t>
  </si>
  <si>
    <t>REFERENTE A 3 CONSULTAS RASTER Nº 7169033 - SOLICITAÇÃO GABRIELA - TICKET Nº 194903 - MOT. AFONSO ELIAS CLAUDINO FILHO</t>
  </si>
  <si>
    <t>MAICON ANDRE KAPPAUNN</t>
  </si>
  <si>
    <t>RAI7H97</t>
  </si>
  <si>
    <t>REFERENTE A 2 PESQUISAS EXPRESSAS 1 RDO RASTER Nº 7163514 - SOLICITAÇÃO DEBORA - TICKET Nº 194907 - MOT. MAICON ANDRE KAPPAUNN</t>
  </si>
  <si>
    <t>REFERENTE A 3 CONSULTAS RASTER Nº 7169432 - SOLICITAÇÃO DEBORA - TICKET Nº 194909 - MOT. MARCOS DOS SANTOS BITENCOURT</t>
  </si>
  <si>
    <t>JOSE ANTONIO GOMES CARDOSO</t>
  </si>
  <si>
    <t>RLH0J75</t>
  </si>
  <si>
    <t xml:space="preserve">REFERENTE A 3 CONSULTAS RASTER Nº 7169619 - SOLICITAÇÃO DEBORA - TICKET Nº 194910 - MOT. JOSE ANTONIO GOMES CARDOSO </t>
  </si>
  <si>
    <t>RUDSON BUENO CARDOSO</t>
  </si>
  <si>
    <t>IOB3B44</t>
  </si>
  <si>
    <t>REFERENTE A 3 CONSULTAS RASTER Nº 7169679 - SOLICITAÇÃO DEBORA - TICKET Nº 194911 - MOT. RUDSON BUENO CARDOSO</t>
  </si>
  <si>
    <t>FABIO ISMAEL NUNES NUNES</t>
  </si>
  <si>
    <t>JCC7E16</t>
  </si>
  <si>
    <t>REFERENTE A 3 PESQUISAS RASTER Nº 7169519 - SOLICITAÇÃO DEBORA - TICKET Nº 194912 - MOT. FABIO ISMAEL NUNES NUNES</t>
  </si>
  <si>
    <t>REFERENTE A 3 CONSULTAS RASTER Nº 7169717 - SOLICITAÇÃO DEBORA - TICKET Nº 194914 - MOT. EVILASIO PACHECO</t>
  </si>
  <si>
    <t>LEOMAR RAUPP CARDOSO</t>
  </si>
  <si>
    <t>QJH1E91</t>
  </si>
  <si>
    <t xml:space="preserve">REFERENTE A 3 PESQUISAS EXPRESSA COMBO RASTER Nº 7169584 - SOLICITAÇÃO DEBORA - TICKET Nº 194915 - MOT. LEOMAR RAUPP CARDOSO </t>
  </si>
  <si>
    <t>EDUARDO JOSE DA SILVA - 043.889.299-21</t>
  </si>
  <si>
    <t>SXP5G78</t>
  </si>
  <si>
    <t>REFERENTE A 3 CONSULTAS RASTER Nº 7169793 - SOLICITAÇÃO DEBORA - TICKET Nº 194916 - MOT. EDUARDO JOSE DA SILVA - 043.889.299-21</t>
  </si>
  <si>
    <t>APARECIDO PEREIRA DOS SANTOS</t>
  </si>
  <si>
    <t>ESP0B58</t>
  </si>
  <si>
    <t xml:space="preserve">REFERENTE A 3 CONSULTAS RASTER Nº 7169904 - SOLICITAÇÃO FABIO - TICKET Nº 194917 - MOT. APARECIDO PEREIRA DOS SANTOS </t>
  </si>
  <si>
    <t>JADER MENDES DIAS</t>
  </si>
  <si>
    <t>IJD2103</t>
  </si>
  <si>
    <t>REFERENTE A 3 CONSULTAS RASTER Nº 7169946 - SOLICITAÇÃO SANDRO - TICKET Nº 194918 - MOT. JADER MENDES DIAS</t>
  </si>
  <si>
    <t xml:space="preserve">REFERENTE A 3 CONSULTAS RASTER Nº 7170098 - SOLICITAÇÃO SANDRO - TICKET Nº 194919 - MOT. NILSON ROSA BOM </t>
  </si>
  <si>
    <t xml:space="preserve">REFERENTE A 3 CONSULTAS RASTER Nº 7170117 - SOLICITAÇÃO SANDRO - TICKET Nº 194920 - MOT. HEBER RODRIGUEZ MUNIZ </t>
  </si>
  <si>
    <t>FRANCO NAJAR VIEIRA TAVARES</t>
  </si>
  <si>
    <t>RAE1G34</t>
  </si>
  <si>
    <t>REFERENTE A PESQUISA RDO OPENTECH (CONJUNTO/MOT) - SOLICITAÇÃO GABRIELA - TICKET Nº 194889 - MOT. FRANCO NAJAR VIEIRA TAVARES</t>
  </si>
  <si>
    <t>ARNALDO OLIVEIRA ABREU</t>
  </si>
  <si>
    <t>SXS8C79</t>
  </si>
  <si>
    <t>REFERENTE A 2 PESQUISAS NORMAL COMBO RASTER Nº 7170212 - SOLICITAÇÃO FABIO - TICKET Nº 194931 - MOT. ARNALDO OLIVEIRA ABREU</t>
  </si>
  <si>
    <t>PEDRO DE OLIVEIRA SANTOS</t>
  </si>
  <si>
    <t>EFO9016</t>
  </si>
  <si>
    <t>REFERENTE A 2 PESQUISAS NORMAL AVULSA RASTER Nº 7170580 - SOLICITAÇÃO FABIO - TICKET Nº 194932 - MOT. PEDRO DE OLIVEIRA SANTOS</t>
  </si>
  <si>
    <t>GENESIO JOSE SAFANELLI</t>
  </si>
  <si>
    <t>RYI6H26</t>
  </si>
  <si>
    <t>REFERENTE A 3 PESQUISAS EXPRESSAS COMBO RASTER Nº 7171802 - SOLICITAÇÃO DEBORA - TICKET Nº 194945 - MOT. GENESIO JOSE SAFANELLI</t>
  </si>
  <si>
    <t>REFERENTE A CONSULTA SKYMARK Nº 3863189 - SOLICITAÇÃO ALESSANDRO - TICKET Nº 194952 - MOT. BRUNO ARCANJO MARTINS</t>
  </si>
  <si>
    <t xml:space="preserve">LUCAS MOREIRA NEZA </t>
  </si>
  <si>
    <t>UAZ5F91</t>
  </si>
  <si>
    <t>REF. A UMA RDO UMA PESQUISA NORMAL RASTER 7170398 CAVALO UAZ5F91 MOT. LUCAS MOREIRA NEZA SOLC.POR UELDER TICKET 194951 DIA 16-04-2026</t>
  </si>
  <si>
    <t>WARLEN CESAR DA FONCESA</t>
  </si>
  <si>
    <t>HLQ6A91</t>
  </si>
  <si>
    <t>REFERENTE A CONSULTA SKYMARK Nº 3863306 - SOLICITAÇÃO DENILSON - TICKET Nº 194954 - MOT.  WARLEN CESAR DA FONCESA</t>
  </si>
  <si>
    <t>IRAN CARDOSO MACIEL</t>
  </si>
  <si>
    <t>SYN8J37</t>
  </si>
  <si>
    <t>REF. A UMA LIBERAÇÃO AUTONOMA SYMARK 3863375 CAVALO SYN8J37 MOT. IRON CARDOSO MACIEL SOLIC. POR MATHEUS  TICKET 194957 DIA 16-04-2026</t>
  </si>
  <si>
    <t>REF. A DUAS PESQUISA COMBO EXPRESSA RASTER 7172896 CAVALO EFB5D68 MOT. LUIS FABIO FREITAS CUNHA SOLC.POR THALIA  TICKET 194958 DIA 16-04-2026</t>
  </si>
  <si>
    <t>REF. A UMA RDO DUAS CONSULTAS RASTER 7174884 CAVALO KIT2101 MOT. ROBERTO RAUPP CARDOSO SOLC.POR TGABRIEL TICKET 194975 DIA 16-04-2026</t>
  </si>
  <si>
    <t>JUCELIO DA COSTA FERNANDES</t>
  </si>
  <si>
    <t>RGC5E23</t>
  </si>
  <si>
    <t>REF. A TRÊS PESQUISA COMBO EXPRESSA RASTER 7171199 CAVALO RGC5E23 MOT. JUCELIO DA COSTA FERNADES SOLC.POR FRANCISCO TICKET 194976 DIA 16-04-2026</t>
  </si>
  <si>
    <t>REFERENTE A CONSULTA OPENTECH (CONJUNTO/MOT) - SOLICITAÇÃO DEBORA - TICKET Nº 194980 - MOT. FABIO EDUARDO ROSSI</t>
  </si>
  <si>
    <t>BONY FERREIRA SOARES</t>
  </si>
  <si>
    <t>HJF4D64</t>
  </si>
  <si>
    <t>REFERENTE A PESQUISA SKYMARK (CONJUNTO/MOT) - SOLICITAÇÃO ALESSANDRO - TICKET Nº 194982 - MOT. BONY FERREIRA SOARES</t>
  </si>
  <si>
    <t>ELTON CARLOS CARDOSO</t>
  </si>
  <si>
    <t>EVV3D20</t>
  </si>
  <si>
    <t>REFERENTE A 2 PESQUISAS COMBO NORMAL RASTER Nº 7184163 - SOLICITAÇÃO THALIA - TICKET Nº 194985 - MOT. ELTON CARLOS CARDOSO</t>
  </si>
  <si>
    <t>BENAILTON DOS SANTOS ANDRADE</t>
  </si>
  <si>
    <t>PVX5G61</t>
  </si>
  <si>
    <t>REFERENTE A 3 CONSULTAS RASTER Nº 7184724 - SOLICITAÇÃO EDVAN - TICKET Nº 194987 - MOT. BENAILTON DOS SANTOS ANDRADE</t>
  </si>
  <si>
    <t>REFERENTE A 3 CONSULTAS RASTER Nº 7184756 - SOLICITAÇÃO DEBORA - TICKET Nº 194988 - MOT. LUIS PAULO DOS SANTOS PORTO</t>
  </si>
  <si>
    <t>GUILHERME ALVES DOS SANTOS</t>
  </si>
  <si>
    <t>TJB8C46</t>
  </si>
  <si>
    <t>REFERENTE A 2 PESQUISAS EXPRESSAS Nº 46102 - BB84B025 - SOLICITAÇÃO GRAZIELE - TICKET Nº 194989 - MOT. GUILHERME ALVES DOS SANTOS</t>
  </si>
  <si>
    <t>RICARDO ALVES BARROSO</t>
  </si>
  <si>
    <t>QWR9417</t>
  </si>
  <si>
    <t>REFERENTE A 1 CONSULTA E 1 RDO RASTER Nº 7174747 - SOLICITAÇÃO ANDRE - TICKET Nº 194998 - MOT. RICARDO ALVES BARROSO</t>
  </si>
  <si>
    <t>TIAGO BUENO KEHRWALD</t>
  </si>
  <si>
    <t>TKR8C71</t>
  </si>
  <si>
    <t>REFERENTE A 2 PESQUISAS EXPRESSAS COMBO 1 RDO RASTER Nº 7183572 - SOLICITAÇÃO DEBORA - TICKET Nº 194999 - MOT. TIAGO BUENO KEHRWALD</t>
  </si>
  <si>
    <t>FELIPE MACHADO DA SILVA</t>
  </si>
  <si>
    <t>FFD0G84</t>
  </si>
  <si>
    <t>REFERENTE A 2 PESQUISAS EXPERSSAS COMBO 1 RDO RASTER Nº 7183457 - SOLICITAÇÃO DEBORA - TICKET Nº 195000 - MOT. FELIPE MACHADO DA SILVA</t>
  </si>
  <si>
    <t>NELSON LUIZ RODRIGUES ACUNHA</t>
  </si>
  <si>
    <t>SSR3D92</t>
  </si>
  <si>
    <t>REFERENTE A 2 PESQUISAS EXPRESSAS COMBO 1 RDO RASTER Nº 7183779 - SOLICITAÇÃO DEBORA - TICKET Nº 195001 - MOT. NELSON LUIZ RODRIGUES ACUNHA</t>
  </si>
  <si>
    <t>THOMAS RENAN PINTO BANDEIRA THOMAZINI</t>
  </si>
  <si>
    <t>ENI3E06</t>
  </si>
  <si>
    <t>REFERENTE A 2 PESQUISAS EXPRESSAS COMBO 1 RDO RASTER Nº 7183523 - SOLICITAÇÃO DEBORA - TICKET Nº 195002 - MOT. THOMAS RENAN PINTO BANDEIRA THOMAZINI</t>
  </si>
  <si>
    <t>MILTON EDUARDO PADILHA</t>
  </si>
  <si>
    <t>IMO0073</t>
  </si>
  <si>
    <t>REF. A DOIS ITENS PESQ. COMBO NORMAL + RDO RASTER 7184218 - CAVALO IMO0073 - MOT. MILTON EDUARDO PADILHA - SOLIC. POR DEBORA TICKET 195006 - DIA 17/04/2026</t>
  </si>
  <si>
    <t>REF. A UMA LIB. DE AUTONO SYMARK 3866076 - CAVALO BNA5D66 - MOT. MARCELO SCARAVELLI - SOLIC. POR Vitor Hugo - TICKET 195005 - DIA 17/04/2026</t>
  </si>
  <si>
    <t>REF. A UMA LIB. DE AUTONO SYMARK 3866069 - CAVALO EFO9B17 - MOT. MIGUEL APARECIDO PEREIRA FILHO - SOLIC. POR Vitor Hugo - TICKET 195004 - DIA 17/04/2026</t>
  </si>
  <si>
    <t>FABIO CESAR OWERGOOR</t>
  </si>
  <si>
    <t>IVU6E71</t>
  </si>
  <si>
    <t>REFERENTE A 3 PESQUISAS NIORMAL RASTER Nº 7185063 - SOLICITAÇÃO GABRIELA - TICKET Nº 195012 - MOT. FABIO CESAR OWERGOOR</t>
  </si>
  <si>
    <t>DAIANE PRISCILA DE PAULA SOARES</t>
  </si>
  <si>
    <t>SYI4I62</t>
  </si>
  <si>
    <t>REFERENTE A 1 CONSULTA E 1 RDO RASTER Nº 7174778 - SOLICITAÇÃO ANDRE - TICKET Nº 194997 - MOT. DAIANE PRISCILA DE PAULA SOARES</t>
  </si>
  <si>
    <t>REF. A TRÊS PESQUISA COMBO EXPRESSA RASTER 7171199 CAVALO RGC5E23 MOT. JUCELIO DA COSTA FERNADES SOLC.POR FRANCISCO TICKET 195016 DIA 17-04-2026</t>
  </si>
  <si>
    <t>DAMIAO FRANCISCO DOS SANTOS</t>
  </si>
  <si>
    <t>QYE2G27</t>
  </si>
  <si>
    <t>REF. TRÊS CONSULTAS RASTER 7185895 - CAVALO QYE2G27 - MOT. DAMIAO FRANCISCO DOS SANTOS - SOLIC. POR Marcelo Henrique - TICKET 195023 - DIA 17/04/2026</t>
  </si>
  <si>
    <t>JOSE CARLOS GOMES DOS SANTOS</t>
  </si>
  <si>
    <t>JSQ9775</t>
  </si>
  <si>
    <t>REF. A TRÊS ITENS PESQ. COMBO EXPRESSA RASTER 7186932 - CAVALO JSQ9775 - MOT. JOSE CARLOS GOMES DOS SANTOS - SOLIC. POR  Marcelo Henrique - TICKET 195024 - DIA 17/04/2026</t>
  </si>
  <si>
    <t>REF. A TRÊS CONSULTAS RASTER 7187755 - CAVALO CPR2F80 - MOT. CLAUDIO JOSE DE SOUZA - SOLIC. POR Marcelo Henrique - TICKET 195027 - DIA 17/04/2026</t>
  </si>
  <si>
    <t>REF. A TRÊS CONSULTAS RASTER 7187804 - CAVALO EKJ0A50 - MOT. ROGERIO FONTES - SOLIC. POR Marcelo Henrique - TICKET 195029 - DIA 17/04/2026</t>
  </si>
  <si>
    <t>PAULO JOSE DE ALMEIDA</t>
  </si>
  <si>
    <t>QNK6B12</t>
  </si>
  <si>
    <t>REF. A UMA LIBERAÇÃO AUTONOMA SYMARK 3866718 CAVALO QNK6B12 MOT. PAULO JOSE DE ALMEIDA SOLIC. POR ALESSANDRO TICKET 195030 DIA 17-04-2026</t>
  </si>
  <si>
    <t xml:space="preserve">ABEL SILVA </t>
  </si>
  <si>
    <t>GAT1F51</t>
  </si>
  <si>
    <t>04.39</t>
  </si>
  <si>
    <t>REF. A UMA RDO DUAS PESQUISA AVULSA NORMAL RASTER 7186170 CAVALO GAT1F51 MOT. ABEL SILVA SOLC.POR WILKER TICKET 195040 DIA 17-04-2026</t>
  </si>
  <si>
    <t xml:space="preserve">FERNANDO SANTOS OLIVEIRA </t>
  </si>
  <si>
    <t>DVS1E43</t>
  </si>
  <si>
    <t>REF A UMA RDO TRÊS PESQUISAS COMBO NORMAL RASTER 7189167 CAVALO DVS1E43 MOT. FERNANDO SANTOS OLIVEIRASOLC. POR MARCELO TICKET 195025</t>
  </si>
  <si>
    <t xml:space="preserve">PEDRO EMANUEL DAMASCENO GOMES DA SILVA </t>
  </si>
  <si>
    <t>REF A  TRÊS PESQUISAS SKYMARK 3867485 CAVALO IYG0I79 MOT. PEDRO EMANUEL DAMASCENO GOMES SILVA SOLIC. POR  ROBERTA TICKET 195060 DIA 18/04/2024</t>
  </si>
  <si>
    <t>REF. A UMA RDO E DUAS CONSULTAS RASTER 7192190 CAVALO FOT1A02 MOT. EDICLEITON DA SILVA MOREIRA SOLIC. POR ERICK TICKET 195063 DIA 18/04/2026</t>
  </si>
  <si>
    <t>THIAGO DE OLIVEIRA ASSUMPCAO</t>
  </si>
  <si>
    <t>BSG2I29</t>
  </si>
  <si>
    <t>REF A TRÊS PESQUISAS COMBO EXPRESSA RASTER 7200501 CAVALO BSG2I29 MOT. THIAGO DE OLIVEIRA ASSUMPÇÃO SOLIC. POR PAULO WESLWY DIA 18/04/2026</t>
  </si>
  <si>
    <t>REF A UMA LIBERAÇÃO DE AUTONOMO SKYMARK 3868881 CAVALO PPG9G24 MOT. MICHAEL CAMPOS DE SOUSA SOLIC. POR ROBERTA TICKET 195079</t>
  </si>
  <si>
    <t>NOAN BERNARDES DIAS</t>
  </si>
  <si>
    <t>QMF6B37</t>
  </si>
  <si>
    <t>REFERENTE A 2 CONSULTAS  RASTER Nº 7200630 - SOLICITAÇAO JOÃO - TICKET Nº 195082 - MOT. NOAN BERNARDES DIAS</t>
  </si>
  <si>
    <t>REFERENTE A 3 CONSULTAS RASTER Nº 7202910 - SOLICITAÇÃO JOSE ALBERTO - TICKET Nº 195093 - MOT. GEAN ARRUDA DA LUZ</t>
  </si>
  <si>
    <t>REFERENTE A 3 CONSULTAS RASTER Nº 7202883 - SOLICITÇÃO JOSE ALBERTO - TICKET Nº 195092 - MOT. MAURICIO RICARDO PEDROSO</t>
  </si>
  <si>
    <t>JOÃO PAULO TAVARES RIBEIRO</t>
  </si>
  <si>
    <t>JNW5H64</t>
  </si>
  <si>
    <t>REFERENTE A 1 CONSULTA 2 PESQUISA NORMAL AVULSA RASTER Nº 7185399 - SOLICITAÇÃO SANDRO - TICKET Nº 195028 - MOT. JOÃO PAULO TAVARES RIBEIRO</t>
  </si>
  <si>
    <t>REFERENTE A 3 CONSULTAS RASTER Nº 7203058 - SOLICITAÇÃO KERILIN - TICKET Nº 195098 - MOT. IRANI BOFF</t>
  </si>
  <si>
    <t>REFERENTE A CONSULTA OPENTECH (CONJUNTO/MOT) - SOLICITAÇÃO AYSHLAN - TICKET Nº 195101 - MOT. MARCOS ROBERTO GONCALVES</t>
  </si>
  <si>
    <t>REFERENTE A CONSULTA OPENTECH (CONJUNTO/MOT) - SOLICITAÇÃO AYSLAN - TICKET Nº 195102 - MOT. LEANDRO DO NASCIMENTO 32316953840</t>
  </si>
  <si>
    <t>REFERENTE A CONSULTA OPENTECH (CONJUNTO/MOT) SOLICITAÇÃO AYSLAN - TICKET Nº 194104 - MOT. HUMBERTO LUIS HILLE</t>
  </si>
  <si>
    <t>REFERENTE A CONSULTA OPENTECH (CONJUNTO/MOT) - SOLICITAÇÃO AYSLAN - TICKET Nº 195103 - MOT. MARCELO SANTOS GERMANO</t>
  </si>
  <si>
    <t>DIEGO FLORES DE DEUS</t>
  </si>
  <si>
    <t>IYA7C27</t>
  </si>
  <si>
    <t>REFERENTE A 3 PESQUISAS EXPRESSAS COMBO RASTER Nº 7202940 - SOLICITAÇÃO JOSE ALBERTO - TICKET Nº 195107 - MOT. DIEGO FLORES DE DEUS</t>
  </si>
  <si>
    <t>REFERENTE A CONSULTA SKYMARK (CONJUNTO/MOT) - SOLICITAÇÃO ALESSANDRO - TICKET Nº 195110 - MOT. SILVIO ANDRE MARTINS DOS SANTOS</t>
  </si>
  <si>
    <t>REFERENTE A 3 CONSULTAS RASTER Nº 7203744 - SOLICITAÇÃO ANDERSON - TICKET Nº 195113 - MOT. FLADEMIR CARLOS GODOI</t>
  </si>
  <si>
    <t>ZILOE DA SILVA MUNHOZ</t>
  </si>
  <si>
    <t>IHO9119</t>
  </si>
  <si>
    <t>REFERENTE A 3 PESQUISAS NORMAL AVULSA RASTER Nº 7203084 - SOLICITAÇÃO KERILIN - TICKET Nº 195125 - MOT. ZILOE DA SILVA MUNHOZ</t>
  </si>
  <si>
    <t>ELEANDRO DOS ANJOS DUARTE</t>
  </si>
  <si>
    <t>IDB3965</t>
  </si>
  <si>
    <t>REF. A TRÊS CONSULTAS AVULSAS NORMAL RASTER  7204817 CAVALO  IDB3965 MOT. ELEANDRO DOS ANJOS DUARTE SOLIC. POR KELIRIN TICKET 195127 DIA 20/04/2026</t>
  </si>
  <si>
    <t>REF A  UMA LIBERAÇÃO DE AUTONOMO SKYMARK 3870376 CAVALO HMV4C65 MOT. ANTONIO ESTANISLAU ZIZIMO SOLIC. POR MATHEUS TICKE 195130 DIA 20/04/2026</t>
  </si>
  <si>
    <t>REFERENTE A 3 CONSULTAS RASTER Nº 7206403 - SOLICITAÇÃO SANDRO - TICKET Nº 195148 - MOT. JADER MENDES DIAS</t>
  </si>
  <si>
    <t xml:space="preserve">REFERENTE A 3 CONSULTAS RASTER Nº 7206430 - SOLICITAÇÃO SANDRO - TICKET Nº 195149  - MOT. HEBER RODRIGUEZ MUNIZ </t>
  </si>
  <si>
    <t>REFERENTE A 3 C0NSULTAS RASTER Nº 7206412 - SOLICITAÇÃO DANIEL - TICKET Nº 195150 - MOT. JONAS DUARTE DE VARGAS</t>
  </si>
  <si>
    <t>04.08</t>
  </si>
  <si>
    <t>REF. A  TRÊS CONSULTAS RASTER  7206442 CAVALO IGQ2977 MOT. NILSON ROSA BOM  SOLIC. POR SANDRO TICKET 195151 DIA 20/04/2026</t>
  </si>
  <si>
    <t>RODRIGO NUNES DA ROCHA</t>
  </si>
  <si>
    <t>IYN6928</t>
  </si>
  <si>
    <t>REF A UMA RDO DUAS PESQUISAS COMBO NORMAL RASTER 7205886 CAVALO IYN6928 MOT. RODRIGO NUNES DA ROCHA SOLIC. POR ISMAEL TICKET 195163</t>
  </si>
  <si>
    <t>EDSON DOS SANTOS QUADROS</t>
  </si>
  <si>
    <t>JBE4D76</t>
  </si>
  <si>
    <t>REF A UMA RDO TRÊS PESQUISAS COMBO EXPRESSA RASTER 7204682 CAVALO JBE4D76 MOT. EDSON DOS SANTOS QUADROS SOLIC. POR DANIEL TICKET 195166 DIA 20/04/2026</t>
  </si>
  <si>
    <t>FABIO MENGUE PEREIRA</t>
  </si>
  <si>
    <t>JBO0F44</t>
  </si>
  <si>
    <t>REF. A UMA RDO TRÊS PESQUISAS COMBO EXPRESSA RASTER 7204649 CAVALO JBO0F44 MOT. FABIO MENGUE PEREIRA SOLIC. POR DANIEL TICKET 195168 DIA 20/04/2026</t>
  </si>
  <si>
    <t>ORIDES SALVADOR SANTOS</t>
  </si>
  <si>
    <t>JAE5E57</t>
  </si>
  <si>
    <t>REF A UMA RDO DUAS PESQUISAS COMBO NORMAL RASTER 7205865 CAVALO JAE5E57 MOT. ORIDES SALVADOR SANTOS SOLIC. POR ISMAEL TICKET 195169 DIA 20/04/2026</t>
  </si>
  <si>
    <t>ELCIMAR DAMIAO RAMOS</t>
  </si>
  <si>
    <t>GLY4I95</t>
  </si>
  <si>
    <t>REF A UMA RDO DUAS PESQUISAS COMBO NORMAL RASTER  7206231 CAVALO GLY4I95 MOT. ELCIMAR DAMIAO RAMOSSOLIC. POR ERICK TICKET 195173 DIA 20/04/2026</t>
  </si>
  <si>
    <t>REGIS SOUZA DIAS FILHO</t>
  </si>
  <si>
    <t>RNU2J78</t>
  </si>
  <si>
    <t>REF A UMA RDO UMA PESQUISA COMBO NORNAL RASTER 7206196 CAVALO RNU2J78 MOT. REGIS SOUZA DIAS FILHO SOLIC. POR CHRISTIAN TICKET 195177 DIA 20/04/2026</t>
  </si>
  <si>
    <t>HAMINTON LEONARDO MUNIZ ACUNA</t>
  </si>
  <si>
    <t>IUB0E40</t>
  </si>
  <si>
    <t>REF A UMA RDO DUAS PESQUISAS COMBO NORMAL RASTER 7189573 CAVALO IUB0E40 MOT. HAMINTON LEONARDO MUNIZ ACUNA SOLIC. POR WILKER 195179 DIA 20/04/2026</t>
  </si>
  <si>
    <t>DÉBITO</t>
  </si>
  <si>
    <t>REF.: CONS RASTER 7208855 SOLIC P MARCELO VIA TICKET 195185 - MT ROGERIO FONTES</t>
  </si>
  <si>
    <t>REF.: CONS RASTER 7209949 SOLIC P MARCELO VIA TICKET 195183 - MT CLAUDIO JOSE DE SOUZA</t>
  </si>
  <si>
    <t>FERNANDO SANTOS OLIVEIRA</t>
  </si>
  <si>
    <t>REF.: CONS RASTER 7211656 SOLIC P MARCELO VIA TICKET 195184 - MT FERNANDO SANTOS OLIVEIRA</t>
  </si>
  <si>
    <t>WANDERSON PIRES DA SILVA</t>
  </si>
  <si>
    <t>NZD5D15</t>
  </si>
  <si>
    <t>REF.: PESQ SKYMARK 3871987 SOLIC P ALESSANDRO VIA TICKET 195187 - MT WANDERSON PIRES DA SILVA</t>
  </si>
  <si>
    <t>PAULO JUNIOR RODRIGUES BLEHM</t>
  </si>
  <si>
    <t>TRB9G64</t>
  </si>
  <si>
    <t>REF.: PESQ COMBO RASTER 1050510 SOLIC P GABRIEL VIA TICKET 195190 - MT PAULO JUNIOR RODRIGUES BLEHM</t>
  </si>
  <si>
    <t>REF.: PESQ SKYMARK 3871174 SOLIC P MATHEUS VIA TICKET 195184 - MT NEIMAR SILVA DO CARMO</t>
  </si>
  <si>
    <t>REF.: CONS RASTER 7216628 SOLIC P GRAZIELE VIA TICKET 195193 - MT DIVANEI MARTINEZ</t>
  </si>
  <si>
    <t>REF.: CONS RASTER 721972 SOLIC P UELDER VIA TICKET 195203 - MT ADELTON SANTIAGO DE ALMEIDA</t>
  </si>
  <si>
    <t>JAIMARY APARECIDO LIMA DE SANTANA</t>
  </si>
  <si>
    <t>FUQ2H46</t>
  </si>
  <si>
    <t>REF.: CONS RASTER 7204854 SOLIC P UELDER VIA TICKET 195204 - MT JAIMARY APARECIDO LIMA DE SANTANA</t>
  </si>
  <si>
    <t>JOSEVALDO VILAS BOAS DE CASTRO DANTAS</t>
  </si>
  <si>
    <t>NYO2143</t>
  </si>
  <si>
    <t>REF.: CONS RASTER 7203448 SOLIC P UELDER VIA TICKET 195205 - MT JOSEVALDO VILAS BOAS DE CASTRO DANTAS</t>
  </si>
  <si>
    <t>Lucas Aparecido Militao Goncalves</t>
  </si>
  <si>
    <t>MIP7G40</t>
  </si>
  <si>
    <t>REF. A LIBERAÇÃO SKYMARK 3872673 - CAVALO MIP7G40 - MOT. Lucas Aparecido Militao Goncalves - SOLIC. POR MATHEUS DE SOUSA TROTTA - TICKET 195210 - DIA 22/04/2026</t>
  </si>
  <si>
    <t>Eloizio Barros de Oliveira</t>
  </si>
  <si>
    <t>REF. A UMA LIB. DE AUTONOMO SKYMARK 3873015 - CAVALO SHP8F13 - MOT. Eloizio Barros de Oliveira - SOLIC. POR Matheus Andrade Ferreira - TICKET 195216 - DIA 22/04/2026</t>
  </si>
  <si>
    <t xml:space="preserve">IIA1480 </t>
  </si>
  <si>
    <t>04.46</t>
  </si>
  <si>
    <t>REF. A DUAS CONSULTAS RASTER 7220926 - CAVALO IIA1480 - MOT. HEBER RODRIGUEZ MUNIZ - SOLIC. POR Sandro Barragana Martinez - TICKET 195218 - DIA 22/04/2026</t>
  </si>
  <si>
    <t>REF. A DUAS CONSULTAS RASTER 7220915 - CAVALO IGQ2977 - MOT. NILSON ROSA BOM- SOLIC. POR Sandro Barragana Martinez - TICKET 195219 - DIA 22/04/2026</t>
  </si>
  <si>
    <t>REF. A UMA LIB. DE AUTONOMO SKYMARK 3873846 - CAVALO JCO9F58 - SOLIC. POR Matheus Andrade Ferreira - TICKET 195235 - DIA 22/04/2026</t>
  </si>
  <si>
    <t>Sebastiao da Cruz Marques</t>
  </si>
  <si>
    <t>QUL2I33</t>
  </si>
  <si>
    <t>REF. A PESQ. SKYMARK 3873883 - CAVALO QUL2I33 - MOT. Sebastiao da Cruz Marques - SOLIC. POR  Alessandro Lagares Ferreira - TICKET 195237 - DIA 22/04/2026</t>
  </si>
  <si>
    <t>REF. UMA RDOI DUAS CONSULTAS RASTER 7223700 CAVALO KIT2101 MOT. ROBERTO RAUPP CARDOSO SOLIC. POR DANIEL TICKET 195253 DIA 22/04/2026</t>
  </si>
  <si>
    <t>LUIZ ANTONIO MONTREZOL</t>
  </si>
  <si>
    <t>CVN9E35</t>
  </si>
  <si>
    <t>04.13</t>
  </si>
  <si>
    <t>REF. A TRÊS PESQUISAS COMBO NORMAL RASTER 7223486 CAVALO CVN9E35 MOT. LUIZ ANTONIO MONTREZOL SOLIC. POR  RICARDO TICKET 195255 DIA 22/04/2026</t>
  </si>
  <si>
    <t>CARLOS DALVIN FIORIN GODINHO</t>
  </si>
  <si>
    <t>ILN6E84</t>
  </si>
  <si>
    <t>REF. A TRÊS ITENS PESQ. COMBO NORMAL RASTER 7222620 - CAVALO ILN6E84 - MOT CARLOS DALVIN FIORIN GODINHO - SOLIC. POR Kelirin Cardoso Gomes - TICKET 195258 - DIA 22/04/2026</t>
  </si>
  <si>
    <t>ROGERIO REINALDO DE SOUZA</t>
  </si>
  <si>
    <t>BUS3A22</t>
  </si>
  <si>
    <t>REF A DUAS PESQUISAS COMBO EXPRESSA RASTER 7222172- CAVALO BUS3A22-MOT.ROGERIO REINALDO DE SOUZA-SOLIC. POR VALMIR -TICKET 195260 DIA 22/04/2026</t>
  </si>
  <si>
    <t>PAULO CEZAR HOFFMANN BOBSIN</t>
  </si>
  <si>
    <t>JBD2G51</t>
  </si>
  <si>
    <t>REF A  QUATRO PESQUISAS COMBO EXPRESSA RASTER 7223038-  CAVALO JBD2G51 - MOT. PAULO CEZAR HOFFMANN BOBSIN- SOLIC. POR JOSÉ ALBERTO DIA 22/04/2026</t>
  </si>
  <si>
    <t>FRANCOLYS SOARES PINHEIRO</t>
  </si>
  <si>
    <t>SSD7J76</t>
  </si>
  <si>
    <t>REF. A DUAS CONSULTAS + RDO RASTER 7206504 - CAVALO SSD7J76 - MOT. FRANCOLYS SOARES PINHEIRO - SOLIC. POR Rafael Pires Juvino - TICKET 195273 - DIA 22-04-26</t>
  </si>
  <si>
    <t>REF A UMA LIBERAÇÃO AUTONOMA SKYMARK 3875520 - CAVALO EFO9B17 MOT. MIGUEL APARECIDO PEREIRA FILHO SOLIC. POR VITOR HUGO TICKET 195272 DIA 22/04/2026</t>
  </si>
  <si>
    <t>RICARDO PINTO MARIANO</t>
  </si>
  <si>
    <t>REF A TRÊS CONSULTAS RASTER 7226449 - CAVALO EGJ2H49 - MOT. JOAO VICTOR MORAES SOLIC. POR FRANCISCO TICKET 195278 DIA 22-04-2026</t>
  </si>
  <si>
    <t>RENAN DOS SANTOS QUEIROZ</t>
  </si>
  <si>
    <t>DJM0C32</t>
  </si>
  <si>
    <t>REFERENTE A 2 CONSULTAS RASTER Nº 7228252 - SOLICITAÇÃO FABIANA - TICKET Nº  195280 - MOT. RENAN DOS SANTOS QUEIROZ</t>
  </si>
  <si>
    <t>MARCUS VINICIUS MADEIRA PEREIRA</t>
  </si>
  <si>
    <t>JCL5F83</t>
  </si>
  <si>
    <t>REF. A DOIS ITENS PESQ. COMBO EXPRESSA + RDO RASTER 7224130 - CAVALO JCL5F83 - MOT. MARCUS VINICIUS MADEIRA PEREIRA - SOLIC. POR Debora Morgado - TICKET 195284 - DIA 23/04/2026</t>
  </si>
  <si>
    <t>EMERSON LEFFA KONIG</t>
  </si>
  <si>
    <t>JBD2G50</t>
  </si>
  <si>
    <t>REF. A TRÊS ITENS PESQ. COMBO EXPRESSA RASTER 7224052 - CAVALO JBD2G50 - MOT. EMERSON LEFFA KONIG - SOLIC. POR Debora Morgado - TICKET  195286 - DIA 23/04/2026</t>
  </si>
  <si>
    <t>JAB7F17</t>
  </si>
  <si>
    <t>REF. A DOIS ITENS PESQ. COMBO EXPRESSA + RDO RASTER 7223835 - CAVALO JAB7F17 - MOT. RODRIGO LIMA SOUZA - SOLIC. POR Debora Morgado - TICKET 195287 - DIA 23/04/2026</t>
  </si>
  <si>
    <t>DAVI MACHADO DA SILVA</t>
  </si>
  <si>
    <t>IZC5C10</t>
  </si>
  <si>
    <t>REF. A DOIS ITENS PESQ. COMBO EXPRESSA + RDO RASTER 7224078 - CAVALO IZC5C10 - MOT. DAVI MACHADO DA SILVA - SOLIC. POR Debora Morgado - TICKET 195288 - DIA 23/04/2026</t>
  </si>
  <si>
    <t>ANDRE FERNANDES DE SOUZA</t>
  </si>
  <si>
    <t>JBC7J48</t>
  </si>
  <si>
    <t>REF. A DOIS ITENS PESQ. COMBO EXPRESSA + RDO RASTER 7224154 - CAVALOJBC7J48  - MOT. ANDRE FERNANDES DE SOUZA - SOLIC. POR Debora Morgado - TICKET 195289 - DIA 23/04/2026</t>
  </si>
  <si>
    <t>REF. A TRÊS CONSULTAS RASTER 7236452 - CAVALO EUR3I02 - MOT. MARCELO TREVISAN - SOLIC. POR Debora Morgado - TICKET 195296 - DIA 23/04/2026</t>
  </si>
  <si>
    <t>REF. A UM ALIB. DE AUTONOMO SKYMARK 3877086 - CAVALO HMV4C65 - MOT. ANTONIO ESTANISLAU ZOZIMO - SOLIC. POR MATHEUS DE SOUSA TROTTA - TICKET 195302 - DIA 23/04/2026</t>
  </si>
  <si>
    <t>WAGNER AUGUSTO RAMOS LIESENFELD</t>
  </si>
  <si>
    <t>IZZ6D72</t>
  </si>
  <si>
    <t>REF. A TRÊS CONSULTAS RASTER 7237161 - CAVALO IZZ6D72 - MOT. WAGNER AUGUSTO RAMOS LIESENFELD - SOLIC. POR Ismael da Silva Saraiva - TICKET 195303 - DIA 23/04/2026</t>
  </si>
  <si>
    <t>ANDRE DA SILVA</t>
  </si>
  <si>
    <t>JCB0J06</t>
  </si>
  <si>
    <t>REF. A TRÊS CONSULTAS RASTER 7237210 - CAVALO JCB0J06 - MOT. ANDRE DA SILVA - SOLIC. POR Debora Morgado - TICKET 195304 - DIA 23/04/2026</t>
  </si>
  <si>
    <t>Tiago Junio Dias Andrade</t>
  </si>
  <si>
    <t>HHY4D56</t>
  </si>
  <si>
    <t>REF. A UM ALIB. DE AUTONOMO SKYMARK 3877312 - CAVALO HHY4D56 - MOT. Tiago Junio Dias Andrade - SOLIC. POR  Alessandro Lagares Ferreira- TICKET 195306- DIA 23/04/2026</t>
  </si>
  <si>
    <t>DIEGO TEIXEIRA DA SILVA</t>
  </si>
  <si>
    <t>MMJ5371</t>
  </si>
  <si>
    <t>REF. A DOIS ITENS PESQ. COMBO EXPRESSA + RDO RASTER 7224256 - CAVALO MMJ5371 - MOT. DIEGO TEIXEIRA DA SILVA - SOLIC. POR Debora Morgado - TICKET 195307 - DIA 23/04/2026</t>
  </si>
  <si>
    <t>REF. A LIB. OPENTECH ARCELLOR - CAVALO DJF3H05 - MOT. ALBERT LUIZ MOGNON - SOLIC. POR Debora Morgado - TICKET 195309 - DIA 23/04/2026</t>
  </si>
  <si>
    <t>Cleiton Antonio Galvao</t>
  </si>
  <si>
    <t>GXS1D91</t>
  </si>
  <si>
    <t>REF. A LIB. SKYMARK 3877527 - CAVALO GXS1D91 - MOT. Cleiton Antonio Galvao - SOLIC POR Alessandro Lagares Ferreira - TICKET  195315 - DIA 23/04/2026</t>
  </si>
  <si>
    <t>ANTONIO ASSIS CARVALHO</t>
  </si>
  <si>
    <t>GDP6C12</t>
  </si>
  <si>
    <t>REF. A QUATRO ITENS PESQ. COMBO NORMAL RASTER 7220966 - CAVALO GDP6C12 - MOT. ANTONIO ASSIS CARVALHO - SOLIC. POR Fabio Martins de Souza - TICKET 195316 - DIA 23/04/2026</t>
  </si>
  <si>
    <t>CLAIRTON MACHADO DA SILVA</t>
  </si>
  <si>
    <t>JCT9C24</t>
  </si>
  <si>
    <t>REF A UMA RDO DUAS CONSULTAS COMBO EXPRESSA RASTER 7236265- CAVALO JCT9C24 - MOT. CLAIRTON MACHADO DA SILVA - SOLIC. POR  DEBORA TICKET 195319 DIA 23-04-2026</t>
  </si>
  <si>
    <t>REF A TRÊS CONSULTAS RASTER 7238184 - CAVALO TRB9G64 - MOT PAULO JUNIOR RODRIGUES BLEHM- SOLIC.POR Debora Morgado TICKET 195321- DIA 23-04-2026</t>
  </si>
  <si>
    <t>REF. A LIB SKYMARK 3877491 - CAVALO QHU6H41 - MOT. BRUNO ARCANJO MARTINS - SOLIC. POR Alessandro Lagares Ferreira - TICKET 195329 - DIA 23/04/2026</t>
  </si>
  <si>
    <t>REF. A TRÊS CONSULTAS RASTER 7238678 - CAVALO JCT9C24 - MOT. CLAIRTON MACHADO DA SILVA - SOLIC. POR Daniel Augusto Alves - TICKET 195330 - DIA 23/04/2026</t>
  </si>
  <si>
    <t>MARCELO EBERHARDT SCHVARSTZHAUPT</t>
  </si>
  <si>
    <t>JCR6C85</t>
  </si>
  <si>
    <t>REF A UMA RDO DUAS CONSULTAS RASTER 7238794 - CAVALO JCR6C85 - MOT. JCR6C85- SOLC. POR Debora Morgado TICKET 195332- DIA 23/04/2026</t>
  </si>
  <si>
    <t>REF. A TRÊS CONSULTAS RASTER 7238697 - CAVALO TRB9G64- MOT. PAULO JUNIOR RODRIGUES BLEHM - SOLIC. POR Daniel Augusto Alves - TICKET 195331 - DIA 23/04/2026</t>
  </si>
  <si>
    <t>MAURO SERGIO POLETTO</t>
  </si>
  <si>
    <t>IZQ9H22</t>
  </si>
  <si>
    <t>REF. A DOIS ITENS PESQ, COMBO EXPRESSA + RDO RASTER 7236151 - CAVALO IZQ9H22 - MOT. MAURO SERGIO POLETTO - SOLIC. POR  Debora Morgado - TICKET 195335 - DIA 23/04/2026</t>
  </si>
  <si>
    <t>ELIEZER JACOBY SANTANA</t>
  </si>
  <si>
    <t>ODQ3F64</t>
  </si>
  <si>
    <t>REF A TRÊS PESQUISAS COMBO EXPRESSA RASTER 7236314- CAVALO ODQ3F64 MOT.ELIEZER JACOBY SANTANA- SOLIC POR DEBORA TICKET 195336 DIA 23/04/2026</t>
  </si>
  <si>
    <t>JANKIEL MACHADO DE SOUZA</t>
  </si>
  <si>
    <t>QIP3G09</t>
  </si>
  <si>
    <t>REF. A DOIS ITENS PESQ. COMBO EXPRESSA RASTER + RDO 7235864 - CAVALO QIP3G09 - MOT. JANKIEL MACHADO DE SOUZA - SOLIC. POR Debora Morgado - TICKET  195334 - DIA 23/04/2026</t>
  </si>
  <si>
    <t>FABIO ERNANE VIEIRA FIGUEIREDO</t>
  </si>
  <si>
    <t>REF A TRÊS PESQUISAS SKYMARK 3878163 - CAVALO AZJ8D51- MOT. FABIO ERNANE VIEIRA FIGUEIREDO- SOLIC. POR MAURICIO - TICKET 195341 - DIA 23-04-2026</t>
  </si>
  <si>
    <t>REF. A TRÊS CONSULTAS  RASTER 7226449 - CAVALO EGJ2H49 - MOT. JOAO VICTOR MORAES- SOLIC. POR THIAGO TICKET 195344- DIA 23/04/2026</t>
  </si>
  <si>
    <t>ERIQUE AMARO DA SILVA</t>
  </si>
  <si>
    <t>SUT3E88</t>
  </si>
  <si>
    <t>REF. A TRÊS PESQUISAS COMBO EXPRESSA RASTER 7239123 - CAVALO SUT3E88- MOT. ERIQUE AMARO DA SILVA-SOLIC. POR DANIEL TICKET 195345 DIA 23/04/2026</t>
  </si>
  <si>
    <t>GENOILTON VENANCIO DE OLIVEIRA</t>
  </si>
  <si>
    <t>ESU9C30</t>
  </si>
  <si>
    <t>REF. A DOIS ITENS PESQ. COMBO EXPRESSA + RDO RASTER 7238521 - CAVALO ESU9C30 - MOT. GENOILTON VENANCIO DE OLIVEIRA - SOLIC. POR Debora Morgado -TICKET 195352 - DIA 23-04-2026</t>
  </si>
  <si>
    <t>REF. A TRÊS CONSULTAS RASTER 7239934- CAVALO DVS1E43 - MOT.FERNANDO SANTOS OLIVEIRA- SOLIC. POR MARCELO TICKET 195348 SIA 23/04/2026</t>
  </si>
  <si>
    <t>REF. A TRÊS CONSULTAS RASTER 7239958- CAVALO CPR2F80 - MOT. CLAUDIO JOSE DE SOUZA- SOLIC. POR MARCELO TICKET 195349- DIA 23/04/2026</t>
  </si>
  <si>
    <t>LEONARDO ALVES DA SILVA</t>
  </si>
  <si>
    <t>IZR1A84</t>
  </si>
  <si>
    <t>REF. A UMA RDO DUAS PESQUISAS COMBO EXPRESSA RASTER 7236859- CAVALO IZR1A84- MOT. LEONARDO ALVES DA SILVA-SOLIC. POR DEBORA TICKET 195350- DIA 23/04/2026</t>
  </si>
  <si>
    <t>RICHARD MATEUS DOS SANTOS</t>
  </si>
  <si>
    <t>JBH3C11</t>
  </si>
  <si>
    <t>REF A UMA RDO DUAS PESQUISAS COMBO EXPRESSA RASTER 7238119- CAVALO JBH3C11- MOT. RICHARD MATEUS DOS SANTOS- SOLIOC. POR DEBORA TICKET 195351- DIA 23/04/2026</t>
  </si>
  <si>
    <t>FELIPE FROIS LAURENTINO</t>
  </si>
  <si>
    <t>IOD1H71</t>
  </si>
  <si>
    <t>REF A UMA RDO DUAS PESQUISAS COMBO EXPRESSA RASTER 7236696- CAVALO MEB7H87- MOT. FELIPE FROIS LAURENTINO- SOLIC. POR DEBORA TICKET 195357- DIA 23/04/2026</t>
  </si>
  <si>
    <t>ROMILSON DELFINO DE OLIVEIRA</t>
  </si>
  <si>
    <t>QQR2383</t>
  </si>
  <si>
    <t>REF A UMA  RDO DUA PESQUISA COMBO EXPRESSA RASTER 7238646- CAVALO QQR2383- MOT.ROMILSON DELFINO DE OLIVEIRA- SOLIC POR DEBORA TICKET 195357- DIA 23/04/2026</t>
  </si>
  <si>
    <t>CLEO SCHUTT DA SILVA</t>
  </si>
  <si>
    <t>JCB0J51</t>
  </si>
  <si>
    <t>REF A UMA RDO DUAS PESQUISAS COMBO EXPRESSA RASTER 7238660- CAVALO JCB0J51- MOT. CLEO SCHUTT DA SILVA-SOLIC. POR DEBORA TICKET 195359DIA 23042026</t>
  </si>
  <si>
    <t>MAURICIO EBERHARDT STRASBURG</t>
  </si>
  <si>
    <t>JBN7E16</t>
  </si>
  <si>
    <t>REF A UMA RDO DUAS PESQUISAS COMBO EXPRESSA RASTER 7238927- CAVALO JBN7E16- MOT.MAURICIO EBERHARDT STRASBURG -SOLIC. POR DEBORA TICKET 195361 DIA 23042026</t>
  </si>
  <si>
    <t>PATRICIO DE ALCANTARA SOARES</t>
  </si>
  <si>
    <t>MFG5A47</t>
  </si>
  <si>
    <t>REF A TRÊS PESQUISAS COMBO EXPRESSA RASTER 7239749- CAVALO MFG5A47- MOT. PATRICIO DE ALCANTARA SOARES-SOLIC. POR DEBORA TICKET 195362DIA 23/04/2026</t>
  </si>
  <si>
    <t>REF A  QUATRO PESQUISA SKYMARK 3878894- CAVALO QQR2383- MOT. ROMILSON DELFINO DE OLIVEIRA-SOLIC. POR  VITOR HUGO TICKET 195367- DIA 23/04/2026</t>
  </si>
  <si>
    <t>MARCIO EBERHARDT SCHVARSTZHAUET</t>
  </si>
  <si>
    <t>JCP6D10</t>
  </si>
  <si>
    <t>REF A UMA RDO DUAS PESQUISAS COMBO EXPRESSA 7223910- CAVALO JCP6D10- MOT. MARCIO EBERHARDT SCHVARSTZHAUET- SOLIC. POR DANIEL TICKET 195368- DIA 23/04/2026</t>
  </si>
  <si>
    <t>TABAJARA PEREIRA JACOBY</t>
  </si>
  <si>
    <t>JCB2C57</t>
  </si>
  <si>
    <t>REF A UMA RDO DUAS PESQUISAS COMBO EXPRESSA RASTER 7239631- CAVALO JCB2C57- MOT.TABAJARA PEREIRA JACOBY-SOLIC. POR DANIEL TICKET 195370 DIA 23-04-26</t>
  </si>
  <si>
    <t>ELIZANDRO DIAS DE ABREU</t>
  </si>
  <si>
    <t>IZH0C93</t>
  </si>
  <si>
    <t>REF A UM ARDO DUAS PESQUISAS COMBO EXPRESSA RASTER 7238295 - CAVALO IZH0C93- MOT.ELIZANDRO DIAS DE ABREU- SOLIC. POR DANIEL TICKET 195371 DIA 23/04/2026</t>
  </si>
  <si>
    <t>YURI SCHWARTZHAUPT DE SOUZA DA SILVA</t>
  </si>
  <si>
    <t>JBD0C75</t>
  </si>
  <si>
    <t>REF A UM ARDO DUAS PESQUISAS COMBO EXPRESSA RASTER 7239443- CAVALO JBD0C75- MOT. YURI SCHWARTZHAUPT DE SOUZA DA SILVA- SOLIC. POR DANIEL TICKET 195372 DIA 23/04/2026</t>
  </si>
  <si>
    <t>LEANDRO APARECIDO DA SILVA DINIZ</t>
  </si>
  <si>
    <t>OPM2B67</t>
  </si>
  <si>
    <t>REF A TRÊS CONSULTAS RASTER 7239105- CAVALO OPM2B67- MOT. LEANDRO APARECIDO DA SILVA DINIZ- SOLIC. POR FRANCISCO TICKET 195374- DIA 23-04-2026</t>
  </si>
  <si>
    <t>MARCOS ANTONIO PEREIRA LANA</t>
  </si>
  <si>
    <t>GYN9J31</t>
  </si>
  <si>
    <t>REF A TRÊS CONSULTAS RASTER 7240863- CAVALO GYN9J31 - MOT. MARCOS ANTONIO PEREIRA LANA- SOLIC. POR FRANCISCO TICKET 195375 - DIA 23/04/2026</t>
  </si>
  <si>
    <t>TIAGO DE LIMA DA SILVA</t>
  </si>
  <si>
    <t>JBN7F86</t>
  </si>
  <si>
    <t>REF A UMA RDO DUAS PESQUISAS COMBO EXPRESSA RASTER 7239162- CAVALO JBN7F86- MOT. TIAGO DE LIMA DA SILVA- SOLIC. POR DABIEL TICKET 195376 - DIA 23/04/2026</t>
  </si>
  <si>
    <t>CARLOS EDUARDO VIEIRA RANGEL</t>
  </si>
  <si>
    <t>NZC8H74</t>
  </si>
  <si>
    <t>REF A UMA RDO DUAS PESQUISAS COMBO EXPRTESSA RASTER 7241784- CAVALO NZC8H74- MOT. CARLOS EDUARDO VIEIRA RANGEL-SOLIC POR FRANCISCO TICKET 195377 DIA 23/04/2026</t>
  </si>
  <si>
    <t>CLEBIO HENRIQUE DA SILVA</t>
  </si>
  <si>
    <t>KNZ6H73</t>
  </si>
  <si>
    <t>REFERENTE A CONSULTA SKYMARK Nº 3879767 - SOLICITAÇÃO ALESSANDRO - TICKET Nº  195378 - MOT. CLEBIO HENRIQUE DA SILVA</t>
  </si>
  <si>
    <t>DOUGLAS DA SILVA LOPES</t>
  </si>
  <si>
    <t>QJU3D15</t>
  </si>
  <si>
    <t>REFERENTE A 2 PESQUISAS EXPRESSAS RASTER Nº 7240866 - SOLICITAÇÃO DEBORA - TICKET Nº 195379 - MOT. DOUGLAS DA SILVA LOPES</t>
  </si>
  <si>
    <t>MAURICIO RODRIGUES DE BARROS</t>
  </si>
  <si>
    <t>QJW4G37</t>
  </si>
  <si>
    <t>REFERENTE A 2 PESQUISAS EXPRESSAS RASTER Nº 7240260 - SOLICITAÇÃO DEBORA - TICKET Nº 195380 - MOT. MAURICIO RODRIGUES DE BARROS</t>
  </si>
  <si>
    <t>REFERENTE A 2 CONSULTAS RASTER Nº 7243471 - SOLICITAÇÃO DANIEL - TICKET Nº 195381 - MOT. FRANCOLYS SOARES PINHEIRO</t>
  </si>
  <si>
    <t>FABIO JOSE PINTO</t>
  </si>
  <si>
    <t>HBZ5D86</t>
  </si>
  <si>
    <t>REFERENTE A 1 PESQUISA AVULSA E 1 PESQUISA EXPRESSA RASTER Nº 7241960 - SOLICITAÇÃO WILLIAN - TICKET Nº 195382 - MOT. FABIO JOSE PINTO</t>
  </si>
  <si>
    <t>GABRIEL DA SILVA REIS</t>
  </si>
  <si>
    <t>AKK1319</t>
  </si>
  <si>
    <t>REF.: PESQ RDO RASTER 7238455 SOLIC P DEBORA VIA TICKET 195384 - MT GABRIEL DA SILVA REIS</t>
  </si>
  <si>
    <t>REF A CONS SKYMARK 3880157 SOLIC P ALESSANDRO, TICKET 195391 - ROBERSON ALVES DA CRUZ</t>
  </si>
  <si>
    <t>REF.: CONS RASTER 7244207 SOLIC P GABRIEL VIA TICKET 195387 - MT GILDEZIO ZIMERER VILAS BOAS</t>
  </si>
  <si>
    <t>REF A CONS SKYMARK 3828830 SOLIC P ALESSANDRO, TICKET 195392 - MOT DOUGLAS ELIESER ALVARENGA</t>
  </si>
  <si>
    <t>REF A CONS SKYMARK 3879914, SOLIC  THAIS, TICKET 195398 - MOT EDEMILSON EDSON GARCIA</t>
  </si>
  <si>
    <t>REF A CONS SKYMARK 3880181, SOLIC P ALESSANDRO, TICKET 195393 - MOT MICHAEL CAMPOS DE SOUSA</t>
  </si>
  <si>
    <t>REF A CONS SKYMARK 3871987, SOLIC P ALESSANDRO, TICKET 195390 - MOT WANDERSON PIRES DA SILVA</t>
  </si>
  <si>
    <t>REF A 3 CONSULTAS RASTER 7244492 SOLIC P ERICK, TICKET 195388 - MOT UEDERSON FERREIRA SARAIVA</t>
  </si>
  <si>
    <t>CLAUDIO QUIRIBERTO DO NASCIMENTO</t>
  </si>
  <si>
    <t>ALX3B41</t>
  </si>
  <si>
    <t>REF A CONS OPENTECH DO DIA 24/04/26, SOLIC P DEBORA TICKET 195385 - MOT CLAUDIO QUIRIBERTO DO NASCIMENTO</t>
  </si>
  <si>
    <t>ANTONIO CARLOS PEREIRA</t>
  </si>
  <si>
    <t>JOM3A46</t>
  </si>
  <si>
    <t xml:space="preserve">REF.: CONS RASTER 1053383 SOLIC P MATHEUS VIA TICKET 195406 - MT ANTONIO CARLOS PEREIRA - JOM 3046 </t>
  </si>
  <si>
    <t>ADELFON DA SILVA</t>
  </si>
  <si>
    <t>REF. A TRÊS ITENS PESQ. COMBO EXPRESSA RASTER 7244760 - CAVALO TPQ9J52 - MOT. ADELFON DA SILVA - SOLIC. POR Debora Morgado - TICKET 195411 - DIA 24/04/2026</t>
  </si>
  <si>
    <t>DIONATAS DE OLIVEIRA MARQUES</t>
  </si>
  <si>
    <t>IZR2D57</t>
  </si>
  <si>
    <t>REF. A DOIS ITENS PESQ. COMBO EXPRESSA RASTER + RDO 7244949 - CAVALO IZR2D57 - MOT. DIONATAS DE OLIVEIRA MARQUES - SOLIC. POR Debora Morgado  - TICKET 195415 - DIA 24-04-26</t>
  </si>
  <si>
    <t>MAURO GOMES NEUBERT</t>
  </si>
  <si>
    <t>QJW4G97</t>
  </si>
  <si>
    <t>REFERENTE A 2 PESQUISAS EXPRESSAS COMBO 1 RDO RASTER Nº 7238226 - SOLICITAÇÃO DEBORA - TICKET Nº 195418 - MOT. MAURO GOMES NEUBERT</t>
  </si>
  <si>
    <t>REF. A UMA RDO DUAS CONSULTAS RASTER 7247195- CAVALO FFD0G84- MOT. FELIPE MACHADO DA SILVA- SOLIC. POR DEBORA TICKET 195430-DIA 24-04-26</t>
  </si>
  <si>
    <t>DANIEL RODRIGUES SPARREMNERGER</t>
  </si>
  <si>
    <t>RAG9H49</t>
  </si>
  <si>
    <t>REF A UMA RDO DUAS PESQUISAS COMBO NORMAL RASTER 7245289- CAVALO RAG9H49- MOT. DANIEL RODRIGUES SPARREMNERGER-SOLIC. POR DEBORA TICKET 195432 DIA 24/04/2026</t>
  </si>
  <si>
    <t>EVANDRO MARTINS PERCHERON</t>
  </si>
  <si>
    <t>FXH6C34</t>
  </si>
  <si>
    <t>REF. UMA RDO DUAS PESQUISAS COMBO EXPRESSA RASTER 7245592 - CAVALO FXH6C34- MOT. EVANDRO MARTINS PERCHERON- SOLIC. POR DEBORA TICKET 195433 DIA 24/04/2026</t>
  </si>
  <si>
    <t>SEBASTIAO CARVALHO</t>
  </si>
  <si>
    <t>FYX2J69</t>
  </si>
  <si>
    <t>REF A QUATRO PESQUISAS COMBO NORMAL RASTER 7240275- CAVALO FYX2J69- MOT. SEBASTIAO CARVALHO- SOLIC. POR EDVAN TICKET 195434- DIA 24/04/2026</t>
  </si>
  <si>
    <t>REF. A UMA LIBERAÇÃO AUTONOMA SKYMARK 3881408- CAVALO MJE9A41- MOT. LUCAS FERREIRA VALENTIM- SOLIC. POR ALESSANDRO TICKET 195439- DIA 24/04/2026</t>
  </si>
  <si>
    <t>DOUGLAS DA COSTA DE LIMA</t>
  </si>
  <si>
    <t>MCU7H47</t>
  </si>
  <si>
    <t>REF A UMA RDO DUAS PESQUISAS COMBO EXPRESSA RASTER 7245426- CAVALO MCU7H47- MOT. DOUGLAS DA COSTA DE LIMA- SOLIC. POR DEBORA TICKET 195437 DIA 24/04/2026</t>
  </si>
  <si>
    <t>PEDRO EMANUEL DAMASCENO GOMES SILVA</t>
  </si>
  <si>
    <t>REF A CONS SKYMARK 3881430, SOLIC P ALESSANDRO, TICKET 195441 - MOT PEDRO EMANUEL DAMASCENO GOMES SILVA</t>
  </si>
  <si>
    <t>RONALDO ADRIANO ROSA</t>
  </si>
  <si>
    <t>OXA2D66</t>
  </si>
  <si>
    <t>REF A UMA LIBERAÇÃO SKYMARK 3881418- CAVALO OXA2D66- MOT. RONALDO ADRIANO ROSA- SOLIC. POR ALESSANDRO TICKET 195440-DIA 24/04/2026</t>
  </si>
  <si>
    <t>EMESON LIMA TEIXEIRA</t>
  </si>
  <si>
    <t>FFI7A41</t>
  </si>
  <si>
    <t>REF A UMA RDO UMA PESQUISA AVULSA EXPRESSA RASTER 7246041- CAVALO FFI7A41- MOT. EMESON LIMA TEIXEIRA- SOLIC. POR  GABRIEL TICKET 195446- DIA 24/04/2026</t>
  </si>
  <si>
    <t>REF A TRêS PESQUISAS COMBO EXPRESSA RASTER 7246623- CAVALO RLH0C40-MOT. RAFAEL SILVA DE SOUZA- SOLIC. POR DEBORA -TICKET 195442- DIA 24/04/2026</t>
  </si>
  <si>
    <t>RICARDO DA SILVA</t>
  </si>
  <si>
    <t>IYP5590</t>
  </si>
  <si>
    <t>REF A UMA RDO DUAS PESQUISAS COMBO EXPRESSA RASTER 7246366- CAVALO IYP5590- MOT. RICARDO DA SILVA-SOLC. POR DEBORA TICKET 195449 DIA 24/04/2026</t>
  </si>
  <si>
    <t>ELIZANDRO DE FRAGA  BREHM</t>
  </si>
  <si>
    <t>IKD8F83</t>
  </si>
  <si>
    <t>REF A UMA RDO DUAS PESQUISAS COMBO EXPRESSA RASTER 7247763- CAVALO IKD8F83- MOT. ELIZANDRO DE FRAGA  BREHM-SOLIC. POR DEBORA TICKET 195458-DIA 24/04/2026</t>
  </si>
  <si>
    <t>REF. A TRÊS CONDULTAS RASTER 7249613- CAVALO EKJ0A50- MOT. ROGERIO FONTES- SOLIC. POR MARCELO TICKET 195461-DIA 24/04/2026</t>
  </si>
  <si>
    <t>JEISSON ANDRADE DE OLIVEIRA</t>
  </si>
  <si>
    <t>JAQ8A56</t>
  </si>
  <si>
    <t>REF A UMA RDO DUAS PESQUISAS COMBO EXPRESSA RASTER 7248165- CAVALO JAQ8A56 -MOT. JEISSON ANDRADE DE OLIVEIRA- SOLIC. POR DANIEL TICKET 195463- DIA 24/04/2026</t>
  </si>
  <si>
    <t>REF A UMA LIBERAÇÃO AUTONOMA SKYMARK 3882280- CAVALO QNK6B12- MOT. PAULO JOSE DE ALMEIDA- SOLIC. POR ALE TROTTA TICKET 195465- DIA 24/04/2026</t>
  </si>
  <si>
    <t>DAVIDSON HENRIQUE ALVES DE OLIVEIRA</t>
  </si>
  <si>
    <t>ODG6H02</t>
  </si>
  <si>
    <t>REF A TRÊS PESQUISAS COMBO EXPRESSA RASTER 7247957- CAVALO ODG6H02- MOT.DAVIDSON HENRIQUE ALVES DE OLIVEIRA- SOLIC. POR FRANCISCO TICKET 195466- DIA 24/04/2026</t>
  </si>
  <si>
    <t>REF A TRÊS CONSULTAS RASTER 7250039- CAVALO EUR3I02- MOT.MARCELO TREVISAN-SOLC. POR DANIEL -TICKET 195468- DIA 24/04/2026</t>
  </si>
  <si>
    <t>REF.: PESQ SKYMARK 3883143 SOLIC P ALESSANDRO VIA TICKET 195479 - MT ANTONIO ESTANISLAU ZOZIMO</t>
  </si>
  <si>
    <t>MARCOS ROBERTO DOS SANTOS</t>
  </si>
  <si>
    <t>MHG9E73</t>
  </si>
  <si>
    <t>REF.: PESQ RASTER 62445B49 SOLIC P GRAZIELEVIA TICKET 195483 - MT ANTONIO ESTANISLAU ZOZIMO</t>
  </si>
  <si>
    <t>JOELTON DE LORETO</t>
  </si>
  <si>
    <t>JDG9C15</t>
  </si>
  <si>
    <t>REF.: PESQ SKYMARK 3883517 SOLIC P VALNEI VIA TICKET 195484 - MT JOELTON DE LORETO</t>
  </si>
  <si>
    <t>JOAO PAULO BARROS COURA</t>
  </si>
  <si>
    <t>QQP8619</t>
  </si>
  <si>
    <t xml:space="preserve">REF.: PESQ SKYMARK 3881800 SOLIC P VALNEI VIA TICKET 195485 - MT JOAO PAULO BARROS COURA </t>
  </si>
  <si>
    <t>REFERENTE A 3 CONSULTAS RASTER Nº 7240760 - SOLICITAÇÃO MATHEUS - TICKET Nº 195492 - MOT. ANTONIO VICENTE DA SILVA MQI</t>
  </si>
  <si>
    <t>REFERENTE A CONSULTA BUONNY Nº 660440039 - SOLICITAÇAO MATHEUS - TICKET Nº 195500 - MOT.  ALFREDO GOMES SALATIEL</t>
  </si>
  <si>
    <t>REFERENTE A 3 CONSULTAS RASTER Nº 7272249 - SOLICITAÇÃO KERILIN - TICKET Nº  195502 - MOT. ELEANDRO DOS ANJOS DUARTE</t>
  </si>
  <si>
    <t>REFERENTE A PESQUISAS SKTYMARK (CONJUNTO/MOT) - SOLICITAÇÃO MATHEUS - TICKET Nº 195504 - MOT.  ANTONIO ESTANISLAU ZOZIMO</t>
  </si>
  <si>
    <t>REFERENTE A 2 CONSULTAS RASTER Nº 7272722 - SOLICITAÇÃO THALIA - TICKET Nº 195507 - MOT. ANTONIO SANTOS DA SILVA</t>
  </si>
  <si>
    <t>REFERENTE A CONSULTA SKYMARK Nº 3884653 - SOLICITAÇÃO ALESSANDRO - TICKET Nº 195508 - MOT. LUCAS FERREIRA VALENTIM</t>
  </si>
  <si>
    <t>REFERENTE A CONSULTA SKYMARK Nº 3884662 - SOLICITAÇÃO ALESSNDRO - TICKET Nº 195510 - MOT.  PEDRO EMANUEL DAMASCENO GOMES SILVA</t>
  </si>
  <si>
    <t>CARLOS ANDRADE MACHADO</t>
  </si>
  <si>
    <t>ESU5A57</t>
  </si>
  <si>
    <t>REF A 2 PESQUISAS COMBO NORMAL RASTER 7259250 SOLIC P EDVAN TICKET 195516</t>
  </si>
  <si>
    <t>JOSE ANTONIO GOMES DA SILVEIRA</t>
  </si>
  <si>
    <t>ATU0I68</t>
  </si>
  <si>
    <t>REFERENTE A 2 PESQUISAS NORMAL COMBO RASTER Nº 7272376 - SOLICITAÇÃO WILLIAN - TICKET Nº 195517 - MOT. JOSE ANTONIO GOMES DA SILVEIRA</t>
  </si>
  <si>
    <t>REFERENTE A 3 CONSULTAS RASTER Nº 7259258 - SOLICITAÇÃO EDVAN - TICKET Nº 195519 - MOT. FABRICIO BARBOSA DOS SANTOS</t>
  </si>
  <si>
    <t>FABIO DA SILVA ALVES</t>
  </si>
  <si>
    <t>JAQ8H61</t>
  </si>
  <si>
    <t>REFERENTE A 2 PESQUISAS EXPRESSAS 1 RDO RASTER Nº 7271816 - SOLICITAÇÃO GABRIELA - TICKET Nº  195524 - MOT. FABIO DA SILVA ALVES</t>
  </si>
  <si>
    <t>REFERENTE A 1 PESQUISA SKYMARK Nº 3885427 - SOLICITAÇÃO ALESSANDRO - TICKET Nº 195527 - MOT.  RONALDO ADRIANO ROSA</t>
  </si>
  <si>
    <t>LEANDRO NUNES DA ROCHA</t>
  </si>
  <si>
    <t>QOG4G79</t>
  </si>
  <si>
    <t>REFERENTE A 2 PESQUISAS EXPRESSAS 1 RDO RASTER Nº 7271876 - SOLICITAÇÃO DEBORA - TICKET Nº 195528 - MOT. LEANDRO NUNES DA ROCHA</t>
  </si>
  <si>
    <t>REFERENTE A 3 CONSULTAS RASTER Nº 7274636 - SOLICITAÇÃO DEBORA - TICKET Nº 195529 - MOT. JOSIANO CORREIA FRANCA</t>
  </si>
  <si>
    <t>REFERENTE A CONSULTA OPENTECH (CONJUNTO/MOT) - SOLICITAÇÃO DEBORA - TICKET Nº 195530 - MOT.  CLAUDIO QUIRIBERTO DO NASCIMENTO</t>
  </si>
  <si>
    <t>REFERENTE A CONSULTA OPENTECH (CONJUNTO/MOT) - SOLICITAÇÃO DEBORA - TICKET Nº  195531 - MOT. IGOR APARECIDO FIALHO</t>
  </si>
  <si>
    <t>REFERENTE A CONSULTA OPENTECH (CONJUNTO/MOT) - SOLICITAÇÃO DEBORA - TICKET Nº  195534 - MOT.  MANOEL RODRIGUES DA SILVA</t>
  </si>
  <si>
    <t>CRISTIANO PEREIRA BARCELOS</t>
  </si>
  <si>
    <t>MKS5J43</t>
  </si>
  <si>
    <t>REF. A TRÊS ITENS PESQ. COMBO EXPRESSA RASTER 7274444 - CAVALO MKS5J43 - MOT. CRISTIANO PEREIRA BARCELOS - SOLIC. POR Debora Morgado - TICKET 195538 - DIA 27/04/2026</t>
  </si>
  <si>
    <t>JOAO LUCAS DA SILVA PEREIRA</t>
  </si>
  <si>
    <t>IZL0J58</t>
  </si>
  <si>
    <t>REF. A DOIS ITENS PESQ. COMBO EXPRESSA + RDO RASTER 7272095 - CAVALO IZL0J58 - MOT. JOAO LUCAS DA SILVA PEREIRA - SOLIC. POR Debora Morgado - TICKET  195540 - DIA 27/04/2026</t>
  </si>
  <si>
    <t>REF. A DUAS CONSULTAS RASTER 7275285 - CAVALO IIA1480 - MOT. HEBER RODRIGUEZ MUNIZ - SOLIC. POR Sandro Barragana Martinez -  TICKET 195541 - DIA 27/04/2026</t>
  </si>
  <si>
    <t>RUBENS GRALICK</t>
  </si>
  <si>
    <t>IXG0I52</t>
  </si>
  <si>
    <t>REF. A TRÊS ITENS PESQ. COMBO NORMAL RASTER 7273068 -CAVALO IXG0I52 - MOT. RUBENS GRALICK - SOLIC. POR Fabio Martins de Souza - TICKET 195542 - DIA 27/04/2026</t>
  </si>
  <si>
    <t>REF. A TRÊS CONSULTAS RASTER 7275436 - CAVALO ONN9C47 - MOT. UEDERSON FERREIRA SARAIVA - SOLIC. POR Erick Henrique Sousa Freitas - TICKET 195549 - DIA 27/04/2026</t>
  </si>
  <si>
    <t>REFERENTE A 3 CONSULTAS RASTER Nº 7275596 - SOLICITAÇÃO MARCELO - TICKET Nº 195551 - MOT.  CLAUDIO JOSE DE SOUZA</t>
  </si>
  <si>
    <t>REFERENTE A 3 CONSULTAS RASTER Nº 7275723- SOLICITAÇÃO MARCELO - TICKET Nº 195552 - MOT.  ROGERIO FONTES</t>
  </si>
  <si>
    <t>ROGERIO OLLERMANN MOSARDINE</t>
  </si>
  <si>
    <t>OUI2F42</t>
  </si>
  <si>
    <t>REFERENTE A 3 PESQUISAS EXPRESSAS 1 RDO RASTER Nº 7274269 - SOLICITAÇÃO DEBORA - TICKET Nº 195556 - MOT. ROGERIO OLLERMANN MOSARDINE</t>
  </si>
  <si>
    <t>LUIS FERNANDO OLEINIK</t>
  </si>
  <si>
    <t>QHY5I96</t>
  </si>
  <si>
    <t>REFERENTE A 2 PESQUISAS EXPRESSAS 1 RDO RASTER Nº 7274075 - SOLICITAÇÃO DEBORA - TICKET Nº 195557 - MOT. LUIS FERNANDO OLEINIK</t>
  </si>
  <si>
    <t>CRISTIANO MACHADO DA SILVA</t>
  </si>
  <si>
    <t>JCO6I92</t>
  </si>
  <si>
    <t>REFERENTE A 2 PESQUISAS EXPRESSAS 1 RDO RASTER Nº 7272184 - SOLICITAÇÃO DEBORA - TICKET Nº 195558 - MOT. CRISTIANO MACHADO DA SILVA</t>
  </si>
  <si>
    <t>ROBSON SCHWARZ</t>
  </si>
  <si>
    <t>IUD7F62</t>
  </si>
  <si>
    <t>REFERENTE A 2 PESQUISAS EXPRESSAS 1 RDO RASTER Nº 7273787 - SOLICITAÇÃO DEBORA - TICKET Nº 195559 - MOT. ROBSON SCHWARZ</t>
  </si>
  <si>
    <t>GEISON DE OLIVEIRA KNEVETZ</t>
  </si>
  <si>
    <t>IHW0J65</t>
  </si>
  <si>
    <t>REFERENTE A 3 CONSULTAS RASTER Nº 7276368 - SOLICITAÇÃO DANIEL AUGUSTO - TICKET Nº 195562 - MOT.  GEISON DE OLIVEIRA KNEVETZ</t>
  </si>
  <si>
    <t>REFERENTE A 3 CONSULTAS RASTER Nº 7276530 - SOLICITAÇÃO DEBORA - TICKET Nº 195564 - MOT. CLAUDINEI ROBERTO ROCHA</t>
  </si>
  <si>
    <t>REFERENTE A 3 CONSULTAS RASTER Nº 7276745 - SOLICITAÇÃO ERICK - TICKET Nº 195565 - MOT. EDICLEITON DA SILVA MOREIRA</t>
  </si>
  <si>
    <t>REFERENTE A 3 CONSULTAS RASTER Nº 7276972 - SOLICITAÇÃO DANIEL - TICKET Nº 195569 - MOT.  JUNIOR CESAR WERNER DE ANDRADE</t>
  </si>
  <si>
    <t>REFERENTE A 3 CONSULTAS RASTER Nº 7276981 - SOLICITAÇÃO DEBORA - TICKET Nº 195570 - MOT. THOMAS RENAN PINTO BANDEIRA THOMAZINI</t>
  </si>
  <si>
    <t>VALCI WICHINHESKI</t>
  </si>
  <si>
    <t>FKD1J92</t>
  </si>
  <si>
    <t>REFERENTE A 3 PESQUISAS EXPRESSAS RASTER Nº 7276584 - SOLICITAÇÃO DANIEL - TICKET Nº  195571 - MOT. VALCI WICHINHESKI</t>
  </si>
  <si>
    <t>REFERENTE A 3 CONSULTAS RASTER Nº 7277028 - SOLICITAÇÃO DEBORA - TICKET Nº 195572 - MOT. NELSON LUIZ RODRIGUES ACUNHA</t>
  </si>
  <si>
    <t>REFERENTE A 3 CONSULTAS RASTER Nº 7277159 - SOLICITAÇÃO DEBORA - TICKET Nº 195573 - MOT. MAICO MARIANO DO AMARAL</t>
  </si>
  <si>
    <t>REFERENTE A 4 CONSULTAS RASTER Nº 7277217 - SOLICITAÇÃO DEBORA - TICKET Nº 195575 - MOT. FABIO MENGUE PEREIRA</t>
  </si>
  <si>
    <t>REFERENTE A 4 CONSULTAS RASTER Nº 7277313 - SOLICITAÇÃO DEBORA - TICKET Nº 195576 - MOT.  EDSON DOS SANTOS QUADROS</t>
  </si>
  <si>
    <t>SANTO IZIDORO MESQUITA JUNIOR</t>
  </si>
  <si>
    <t>JCK5A54</t>
  </si>
  <si>
    <t>REF A DUAS PESQUISAS COMBO EXPRESSA + PESQUISA+ RASTER 7273619, SOLIC P DEBORA, TICKET 195579 - MOT SANTO IZIDORO MESQUITA JUNIOR</t>
  </si>
  <si>
    <t>RONY VIDAL MACHADO</t>
  </si>
  <si>
    <t>ITO0D03</t>
  </si>
  <si>
    <t>REFERENTE A 2 CONSULTAS RASTER Nº 7277361 - SOLICITAÇÃO GRAZIELE - TICKET Nº 195577 - MOT. RONY VIDAL MACHADO</t>
  </si>
  <si>
    <t>REF. A UMA PESQUISA AVULSA EXPRESSA E TRÊS CONSULTAS RASTER 7277013-CAVALO JBD2G51- MOT. PAULO CEZAR HOFFMANN BOBSIN- SOLIC. POR DEBORA -TICKET 195581-DIA 27/07/2026</t>
  </si>
  <si>
    <t>PEDRO MAGNUS DE BARROS</t>
  </si>
  <si>
    <t>JCB0J35</t>
  </si>
  <si>
    <t>REF A UMA CONSULTA DUAS PESQUISAS COMBO EXPRESSA RASTER 7277180- CAVALO JCB0J35- MOT. PEDRO MAGNUS DE BARROS- SOLIC. POR DANIEL TICKET 195588- DIA 27/04/2026</t>
  </si>
  <si>
    <t>HELINTON TOMAZI DE SOUZA</t>
  </si>
  <si>
    <t>JCJ4H44</t>
  </si>
  <si>
    <t>REF A TRÊS PESQUISAS COMBO EXPRESSA RASTER 7276912- CAVALO JCJ4H44 - MOT. HELINTON TOMAZI DE SOUZA- SOLIC. POR DANIEL TICKET 195598- DIA 27/04/2026</t>
  </si>
  <si>
    <t>REFERENTE A 2 PESQUISAS AVULSA NORMAL E EXPRESSA RASTER Nº 7280390 - SOLICITAÇÃO JOÃO PEDRO - TICKET Nº 195602 - MOT. DIVANEI MARTINEZ</t>
  </si>
  <si>
    <t>JOAO VITOR MAGNUS BORGES</t>
  </si>
  <si>
    <t>IQN8F85</t>
  </si>
  <si>
    <t>REFERENTE A 2 PESQUISAS COMBO EXPRESSA 1 RDO RASTER Nº 7278168 - SOLICITAÇÃO DEBORA - TICKET Nº 195607 - MOT. JOAO VITOR MAGNUS BORGES</t>
  </si>
  <si>
    <t>REFERENTE A 1 CONSULTA SKYMARK Nº  3888049 - SOLICITAÇÃO ALESSANDRO - TICKET Nº 195610 - MOT. WANDERSON PIRES DA SILVA</t>
  </si>
  <si>
    <t>JOAO CARLOS VEIGA</t>
  </si>
  <si>
    <t>QID2E64</t>
  </si>
  <si>
    <t>REFERENTE A 4 PÉSQUISAS NORMAL COMBO RASTER Nº 7278594 - SOLICITAÇÃO FABIO - TICKET Nº 195613 - MOT. JOAO CARLOS VEIGA</t>
  </si>
  <si>
    <t>JAIDER HENRIQUE VASCONCELOS</t>
  </si>
  <si>
    <t>QPE5269</t>
  </si>
  <si>
    <t>REFERENTE A CONSULTA SKYMARK Nº 3888224 - SOLICITAÇÃO JEAN - TICKET Nº 195615 - MOT. JAIDER HENRIQUE VASCONCELOS</t>
  </si>
  <si>
    <t>ADSON JOSE MOREIRA</t>
  </si>
  <si>
    <t>DTB6I42</t>
  </si>
  <si>
    <t>REFERENTE A 3 CONSULTAS RASTER Nº 7278947 - SOLICITAÇÃO FABIO - TICKET Nº 195618 - MOT. ADSON JOSE MOREIRA</t>
  </si>
  <si>
    <t>REFERENTE A 3 CONSULTAS RASTER Nº 7281620 - SOLICITAÇÃO DEBORA - TICKET Nº 195621 - MOT. WAGNER AUGUSTO RAMOS LIESENFELD</t>
  </si>
  <si>
    <t>REFERENTE A 3 CONSULTAS RASTER Nº 7281843 - SOLICITAÇÃO KERILIN - TICKET Nº 195624 - MOT. CARLOS DALVIN FIORIN GODINHO</t>
  </si>
  <si>
    <t>REFERENTE A 3 CONSULTAS RASTER Nº 7282621 - SOLICITAÇÃO ISMALEL  - TICKET Nº 195630 - MOT. ROBERTO RAUPP CARDOSO</t>
  </si>
  <si>
    <t>MARLON LUMERTZ CHITES</t>
  </si>
  <si>
    <t>QIE6J40</t>
  </si>
  <si>
    <t>REFERENTE A 2 PESQUISAS EXPRESSA COMBO 1 RDO RASTER Nº 7281228 - SOLICITAÇÃO DEBORA - TICKET Nº 195637 - MOT. MARLON LUMERTZ CHITES</t>
  </si>
  <si>
    <t>REFERENTE A 1 CONSULTA SKYMARK Nº 3889186 - SOLICITAÇÃO CLAUDIO - TICKET Nº  195638 - MOT.  MIGUEL APARECIDO PEREIRA FILHO</t>
  </si>
  <si>
    <t>RAMON CECONELO DOS SANTOS</t>
  </si>
  <si>
    <t>IZY2H97</t>
  </si>
  <si>
    <t>REFERENTE A 2 PESQUISAS EXPRESSA COMBO 1 RDO RASTER Nº 7281744 - SOLICITAÇÃO DEBORA - TICKET Nº 195639 - MOT. RAMON CECONELO DOS SANTOS</t>
  </si>
  <si>
    <t>REFERENTE A CONSULTA OPENTECH (CONJUNTO/MOT) - SOLICITAÇÃO DEBORA - TICKET Nº 195641 - MOT. MARCIO LOPES PEREIRA</t>
  </si>
  <si>
    <t>ENOR STROHM</t>
  </si>
  <si>
    <t>MIT3F40</t>
  </si>
  <si>
    <t>REFERENTE A 4 PESQUISAS EXPRESSAS RASTER Nº 7282497 - SOLICITAÇÃO DEBORA - TICKET Nº 195642 - MOT.  ENOR STROHM</t>
  </si>
  <si>
    <t>ALESSANDRO QUADROS DE MATOS</t>
  </si>
  <si>
    <t>MLJ6C92</t>
  </si>
  <si>
    <t>REFERENTE A 2 PESQUISAS EXPRESSAS 1 RDO RASTER Nº 7281329 - SOLICITAÇÃO DEBORA - TICKET Nº 195643 - MOT. ALESSANDRO QUADROS DE MATOS</t>
  </si>
  <si>
    <t>REF A UMA RDO DUAS CONSULTAS RASTER 7284152- CAVALO IMO0073- MOT. MILTON EDUARDO PADILHA- SOLIC. POR DEBORA - TICKET  195644- DIA 28/04/2026</t>
  </si>
  <si>
    <t>DANIEL AFONSO SAATH</t>
  </si>
  <si>
    <t>IZR1F16</t>
  </si>
  <si>
    <t>REF A TRÊS COONSULTAS RASTER 7284521- CAVALO IZR1F16- MOT. DANIEL AFONSO SAATH- SOLIC. POR DEBORA TICKET 195648- DIA -28/04/2026</t>
  </si>
  <si>
    <t>REF A TRÊS CONSULTAS RASTER 7281467 -CAVALO AVU0245 - MOT. JOSE IVANILDO LEITE- SOLIC. POR LUCAS TICKET 195651- DIA 28/04/2026</t>
  </si>
  <si>
    <t>ZILMAR DE MEDEIROS MAGNUS</t>
  </si>
  <si>
    <t>NTM7057</t>
  </si>
  <si>
    <t>REFERENTE A 2 PESQUISAS NORMAL E EXPRESSA COMBO RASTER Nº 7281527 - SOLICITAÇÃO DEBORA - TICKET Nº 195660 - MOT.  ZILMAR DE MEDEIROS MAGNUS</t>
  </si>
  <si>
    <t>ANTONIO CARLOS PEREIRA - JOM 3046</t>
  </si>
  <si>
    <t>REFERENTE A 3 CONSULTAS RASTER Nº 7285589 - SOLICITAÇÃO MATHEUS - TICKET Nº 1954664 - MOT. ANTONIO CARLOS PEREIRA - JOM 3046</t>
  </si>
  <si>
    <t>REF A TRÊS CONSULTAS RASTER 7285608 - CAVALO MQI7965 - MOT. ANTONIO VICENTE DA SILVA MQI- SOLICT. POR MATHEUS - TICKET 195665- DIA 28/04/2026</t>
  </si>
  <si>
    <t>REFERENTE A 3 CONSULTAS RASTER Nº 7285881 - SOLICITAÇÃO DEBORA - TICKET Nº 195672 - MOT. ANDRE DA SILVA</t>
  </si>
  <si>
    <t>REFERENTE A CONSULTA OPENTECH (CONJUNTO/MOT) -SOLICITAÇÃO DEBORA - TICKET Nº 195677 - MOT. FABIO EDUARDO ROSSI</t>
  </si>
  <si>
    <t>UELITON OLIVEIRA DE SOUZA</t>
  </si>
  <si>
    <t>JSY8F44</t>
  </si>
  <si>
    <t>REF A UMA RDO DUAS CONSULTAS RASTER 7285002- CAVALO JSY8F44- MOT. UELITON OLIVEIRA DE SOUZA-SOLIC. POR EDVAN TICKET 195683- DIA 28/04/2026</t>
  </si>
  <si>
    <t>ALENCAR LUMERTZ SCHWANCK</t>
  </si>
  <si>
    <t>JBZ0D51</t>
  </si>
  <si>
    <t>REFERENTE A 2 PESQUISAS EXPRESSAS COMBO 1 RDO RASTER Nº 7285750 - SOLICITAÇÃO DEBORA - TICKET Nº 195684 - MOT. ALENCAR LUMERTZ SCHWANCK</t>
  </si>
  <si>
    <t>EDINALDO DA SILVA CARNEIRO</t>
  </si>
  <si>
    <t>NLP6459</t>
  </si>
  <si>
    <t>REF A UMA RDO DUAS CONSULTAS RASTER 7282378 - CAVALO NLP6459- MOT. EDINALDO DA SILVA CARNEIRO- SOLIC. POR EDVAN TICKET 195686-DIA 28/04/2026</t>
  </si>
  <si>
    <t>ALEX PEREIRA</t>
  </si>
  <si>
    <t>FEI1G31</t>
  </si>
  <si>
    <t>REFERENTE A 3 PESQUISAS NORMAL COMBO RASTER Nº 7285545 - SOLICITAÇÃO EDVAN - TICKET Nº 195687 - MOT. ALEX PEREIRA</t>
  </si>
  <si>
    <t>RODRIGO PEREIRA NUNES</t>
  </si>
  <si>
    <t>QUV0674</t>
  </si>
  <si>
    <t>REFERENTE A 1 PESQUISA EXPRESSA 1 RDO RASTER Nº 7285212 - SOLICITAÇÃO ANDRE - TICEKT Nº 195691 - MOT. RODRIGO PEREIRA NUNES</t>
  </si>
  <si>
    <t>LAURI BARAZZETTI</t>
  </si>
  <si>
    <t>BEA9A95</t>
  </si>
  <si>
    <t>REF. A UMA RDO DUAS PESQUISAS AVULSA EXPRESSA RASTER 7272684- CAVALO BEA9A95- MOT. LAURI BARAZZETTI- SOLIC. POR UELDER TICKET 195694 DIA 28/04/2026</t>
  </si>
  <si>
    <t>REF. DUAS CONSULTAS  RASTER 7285847- CAVALO BTA7074 - MOT. ANTONIO ALVES DE LIMA- SOLIC. POR FRANCISCO- TICKET 195698 DIA 28/04/2026</t>
  </si>
  <si>
    <t>LUIZ CARLOS QUERINO</t>
  </si>
  <si>
    <t>NLS8775</t>
  </si>
  <si>
    <t>REF A UMA PESQUISA AVULSA EXPRESSA DUAS CONSULTAS RASTER 7279454- CAVALO NLS8775- MOT. LUIZ CARLOS QUERINO- SOLIC. POR FRANCISO TICKET 195699- DIA 28/04/2026</t>
  </si>
  <si>
    <t>ADILSON PETEAN HUNGARO</t>
  </si>
  <si>
    <t>RJC4E95</t>
  </si>
  <si>
    <t>REF A DUAS PESQUISAS COMBO EXPRESSA RASTER 7287102-CAVALO RJC4E95- MOT. ADILSON PETEAN HUNGARO- SOLIC. POR FRANCISO TICKET 195700- DIA 28/04/2026</t>
  </si>
  <si>
    <t>ALAN MONTEIRO ROSA</t>
  </si>
  <si>
    <t>MPZ9786</t>
  </si>
  <si>
    <t>REF A UMA RDOA UMA PESQUISA AVULSA EXPRESSA RASTER 7286591- CAVALO MPZ9786- MOT. ALAN MONTEIRO ROSA- SOLIC. POR FRANCISCO TICKET 195703 DIA 28/04/2026</t>
  </si>
  <si>
    <t>REFERENTE A 3 CONSULTAS RASTER Nº 7288403 - SOLICITAÇÃO MARCELO - TICKET Nº 195704 - MOT. ROGERIO FONTES</t>
  </si>
  <si>
    <t>REFERENTE A CONSULTA SKYMARK Nº 3891293 - SOLICITAÇÃO JEAN - TICKET Nº 195707 - MOT. ANDRE LUIZ RODRIGUES SABARA</t>
  </si>
  <si>
    <t>JULIO CESAR PEREIRA</t>
  </si>
  <si>
    <t>COT2C97</t>
  </si>
  <si>
    <t>REFERENTE A 3 PESQUISAS NORMAL COMBO RASTER Nº 7281803 - SOLICITAÇÃO MARCELLI - TICKET Nº 195706 - MOT. JULIO CESAR PEREIRA</t>
  </si>
  <si>
    <t>REFERENTE A CONSULTA OPENTECH (CONJUNTO/MOT) - SOLICITAÇÃO DEBORA - TICKET Nº 195709 - MOT. ALBERT LUIZ MOGNON</t>
  </si>
  <si>
    <t>REFERENTE A 3 CONSULTAS RASTER Nº 7295917 - SOLICITAÇÃO DEBORA - TICKET Nº 195711 -MOT. ELIEZER JACOBY SANTANA</t>
  </si>
  <si>
    <t>DOUGLAS FELIPE DA SILVA VELOSO</t>
  </si>
  <si>
    <t>SXH0A04</t>
  </si>
  <si>
    <t>REFERENTE A CONSULTA OPENTECH (CONJUNTO/MOT) - SOLICITAÇÃO DEBORA - TICKET Nº 195712 - MOT.  DOUGLAS FELIPE DA SILVA VELOSO</t>
  </si>
  <si>
    <t>REFERENTE A 3 CONSULTAS RASTER Nº 7296038 - SOLICITAÇÃO DEBORA - TICKET Nº 195714  - MOT. MARCELO TREVISAN</t>
  </si>
  <si>
    <t>REFERENTE A 3 CONSULTAS RASTER Nº 7296202 - SOLICITAÇÃO DEBORA - TICKET Nº 195716 - MOT. SANTO IZIDORO MESQUITA JUNIOR</t>
  </si>
  <si>
    <t>REFERENTE A 3 CONSULTAS RASTER Nº  7296248 - SOLICITAÇÃO DEBORA - TICKET Nº 195717 - MOT. DIEGO TEIXEIRA DA SILVA</t>
  </si>
  <si>
    <t>REFERENTE A 3 CONSULTAS RASTER Nº 7296404 - SOLICITAÇÃO DEBORA - TICKET Nº 195718 - MOT. GENOILTON VENANCIO DE OLIVEIRA</t>
  </si>
  <si>
    <t>LUIS APARECIDO DA SILVA MOURA</t>
  </si>
  <si>
    <t>IUH9C15</t>
  </si>
  <si>
    <t>REFERENTE A 3 PESQUISAS EXPRESSAS Nº 7296349 - SOLICITAÇÃO DEBORA - TICKET Nº 195725 - MOT. LUIS APARECIDO DA SILVA MOURA</t>
  </si>
  <si>
    <t>REFERENTE A CONSULTA SKYMARK Nº 3891912 - SOLICITAÇÃO JEAN ANSELMO - TICKET Nº 195728 - MOT. WENDELL PEREIRA DO CARMO</t>
  </si>
  <si>
    <t>ROGES PEREIRA DA SILVA</t>
  </si>
  <si>
    <t>TRB4J11</t>
  </si>
  <si>
    <t>REFERENTE A 3 PESQUISAS EXPRESSAS COMBO RASTER Nº 7297468 - SOLICITAÇÃO DEBORA - TICKET Nº 195743 - MOT. ROGES PEREIRA DA SILVA</t>
  </si>
  <si>
    <t>SILVANO CARDOSO MACHADO</t>
  </si>
  <si>
    <t>JCY4440</t>
  </si>
  <si>
    <t>REF. A UMA RDO UMA PESQUISA COMBO EXPRESSA UMA PESQUISA COMBO NORMAL RASTER 7297715- CAVALO JCY4440- MOT. SILVANO CARDOSO MACHADO- SOLIC. POR DEBORA -TICKET 195746- DIA 29/04/2026</t>
  </si>
  <si>
    <t>REF. A UMA LIBERAÇÃO AUTONOMA SKYMARK 3891438- CAVALO CPR2574- MOT. EDEMILSON EDSON GARCIA- SOLIC. POR THAIS - TICKET 195751- DIA 29/04/2026</t>
  </si>
  <si>
    <t>ANTONIO CLAUDEMIR LEITE DA SILVA</t>
  </si>
  <si>
    <t>RXP3A41</t>
  </si>
  <si>
    <t>REF A UMA RDO DUAS PESQUISAS COMBO NORMAL RASTER 7297505- CAVALO RXP3A41- MOT. ANTONIO CLAUDEMIR LEITE DA SILVA-SOLIC. POR MARCELLI - TICKET 195752- DIA 29/04/2026</t>
  </si>
  <si>
    <t>FABIO RODRIGUES DO NASCIMENTO</t>
  </si>
  <si>
    <t>AVA3F29</t>
  </si>
  <si>
    <t>REFERENTE A 2 PESQUISAS NORMAL COMBO RASTER Nº 7296789 - SOLICITAÇÃO EDVAN - TICKET Nº 195758 - MOT. FABIO RODRIGUES DO NASCIMENTO</t>
  </si>
  <si>
    <t>DENIS PEIXOTO</t>
  </si>
  <si>
    <t>IQZ0D63</t>
  </si>
  <si>
    <t>REFERENTE A PESQUISA COMPLETA SKYMARK Nº 3892961  (CONJUNTO/MOT) - SOLICITAÇÃO ALESSANDRO - TICKET Nº 195759 - MOT. DENIS PEIXOTO</t>
  </si>
  <si>
    <t>REGIS DA ROCHA MUNIZ</t>
  </si>
  <si>
    <t>JCG9G10</t>
  </si>
  <si>
    <t>REF A UMA RDO DUAS PESQUISAS COMBO EXPRESSA RASTER 7298912- CAVALO JCG9G10- MOT. REGIS DA ROCHA MUNIZ- SOLIC. POR DEBORA - TICKET 195762- DIA 28/04/2026</t>
  </si>
  <si>
    <t>REF A UMA RDO UMA PESQUISA CONJUNTO OPENTECH-CAVALO ACH1G73- MOT. LEANDRO DO NASCIMENTO 32316953840- SOLIC POR DEBORA TICKET 195763- DIA 29/04/2026</t>
  </si>
  <si>
    <t>EDEVALDO BRICHI PF</t>
  </si>
  <si>
    <t>LZH9I68</t>
  </si>
  <si>
    <t>REF A TRÊS PESQUISAS COMBO EXPRESSA RASTER 7299633- CAVALO LZH9I68- MOT. EDEVALDO BRICHI PF-SOLIC. POR DEBORA - TICKET 195764- DIA 29/04/2026</t>
  </si>
  <si>
    <t>ADRIANO JOSE CARVALHO DE ALMEIDA</t>
  </si>
  <si>
    <t>KMJ3316</t>
  </si>
  <si>
    <t>REF A UMA PESQUISA AVULSA EXPRESSA DUAS CONSULTAS RASTER 7300543- CAVALO KMJ3316- MOT. ADRIANO JOSE CARVALHO DE ALMEIDA-SOLIC. POR THIAGO - TICKET 195769- DIA 29/04/2026</t>
  </si>
  <si>
    <t>REF. A DUAS CONSULTAS RASTER 7301333- CAVALO MJK1F19-MOT. LUCAS SILVA DOS SANTOS-SOLIC. POR WILLIAN - TICKET 195774- DIA 29/04/2026</t>
  </si>
  <si>
    <t>HELIO VIEIRA DOS SANTOS</t>
  </si>
  <si>
    <t>DBL4910</t>
  </si>
  <si>
    <t xml:space="preserve">REFERENTE A CONSULTA OPENTECH (CONJUNTO/MOT) - SOLICITAÇÃO THAIS - TICKET Nº 195778 - MOT. HELIO VIEIRA DOS SANTOS </t>
  </si>
  <si>
    <t>ALCIDES FRANCISCO PRADA</t>
  </si>
  <si>
    <t>TAI8E03</t>
  </si>
  <si>
    <t>REF A UMA RDO DUAS PESQUISAS COMBO NORMAL RASTER 7273309-CAVALO TAI8E03- MOT. ALCIDES FRANCISCO PRADA-SOLIC. POR ANTONIO TICKET 195780- DIA 29/04/2026</t>
  </si>
  <si>
    <t>REF A UMA RDO DUAS CONSULTAS RASTER 7302192- CAVALO DVS1E43-MOT. FERNANDO SANTOS OLIVEIRA-SOLIC. POR MARCELO - TICKET 195782-DIA 29-04-2026</t>
  </si>
  <si>
    <t>06.05</t>
  </si>
  <si>
    <t>REF A UMA LIBERAÇÃO AUTONOMA SKYMARK 3893625- CAVALO SHP8F13- MOT. ELOIZIO BARROS DE OLIVEIRA- SOLIC. POR JEAN - TICKET v- DIA 29/04/2026</t>
  </si>
  <si>
    <t>EDUARDO NOVAES CORONI</t>
  </si>
  <si>
    <t>HRO9D01</t>
  </si>
  <si>
    <t>REF A TRêS PESQUISAS COMBO EXPRESSA RASTER 7301511-CAVALO HRO9D01- MOT. EDUARDO NOVAES CORONI-SOLIC. POR FRANCISO TICKET 195784- DIA 29/04/2026</t>
  </si>
  <si>
    <t>LUCAS DA SILVA GILES</t>
  </si>
  <si>
    <t>MSH2C78</t>
  </si>
  <si>
    <t>REF A  DUAS PESQUISAS COMBO EXPRESSA E UMA CONSULTA RASTER 7301524- CAVALO MSH2C78- MOT. LUCAS DA SILVA GILES-SOLIC. POR FRANCISCO - TICKET 195785 - DIA 29-04-2026</t>
  </si>
  <si>
    <t>REF A UMA LIBERAÇÃO AUTONOMA SKYMARK 3894228- CAVALO RTS9D01- MOT. WEMERSON GUSTAVO MATOZO- SOLIC. POR JEAN TICKET 195789-DIA 29/04/2026</t>
  </si>
  <si>
    <t>REFERENTE A 3 CONSULTAS RASTER Nº 7310621 - SOLICITAÇÃO DEBORA - TICKET Nº 195803 - MOT. RAFAEL SILVA DE SOUZA</t>
  </si>
  <si>
    <t>ANDRE ACACIO DA SILVA</t>
  </si>
  <si>
    <t>FOK8F04</t>
  </si>
  <si>
    <t>REFERENTE A 3 PESQUISAS EXPRESSAS RASTER Nº 7297091 - SOLICITAÇÃO DEBORA - TICKET nº 195805 - MOT, ANDRE ACACIO DA SILVA</t>
  </si>
  <si>
    <t>REFERENTE A CONSULTA SKYMARK Nº 3894695 - SOLICITAÇÃO MATHEUS - TICKET Nº 195806 - MOT.  IRAN CARDOSO MACIEL</t>
  </si>
  <si>
    <t>HELVECIO ROBERTO LEITE</t>
  </si>
  <si>
    <t>TYN1F32</t>
  </si>
  <si>
    <t>REFERENTE A CONSULTA SKYMARK Nº 3894974 - SOLICITAÇÃO ALESSANDRO - TICKET Nº 195809 - MOT. HELVECIO ROBERTO LEITE</t>
  </si>
  <si>
    <t>LEONARDO ALVES DA SILVA 034.702.950-77</t>
  </si>
  <si>
    <t>REFERENTE A 3 CONSULTAS RASTER Nº 7311063 - SOLICITAÇÃO DEBORA - TICKET Nº 195810 - MOT. LEONARDO ALVES DA SILVA</t>
  </si>
  <si>
    <t>ADENILSON BARROS DE OLIVEIRA</t>
  </si>
  <si>
    <t>HNM6J82</t>
  </si>
  <si>
    <t>REFERENTE A CONSULTA SKYMARK Nº 3895230 - SOLICITAÇÃO ALESSANDRO - TICKET Nº 195815 - MOT. ADENILSON BARROS DE OLIVEIRA</t>
  </si>
  <si>
    <t>REFERENTE A 3 CONSULTAS RASTER Nº 7312231  - SOLICITAÇÃO DEBORA - TICKET Nº 195818 - MOT. EDUARDO JESUS TOMAZINHO</t>
  </si>
  <si>
    <t>REFERENTE A 3 CONSULTAS RASTER Nº 7312247 - SOLICITAÇÃO ISMAEL - TICKET Nº 195819 - MOT. NELSON LUIZ RODRIGUES ACUNHA</t>
  </si>
  <si>
    <t>CLEITON PEREIRA DOMINGOS</t>
  </si>
  <si>
    <t>NZZ9E21</t>
  </si>
  <si>
    <t>REFERENTE A 3 CONSULTAS RASTER Nº 7312281 - SOLICITAÇÃO DEBORA - TICKET Nº 195821 - MOT. CLEITON PEREIRA DOMINGOS</t>
  </si>
  <si>
    <t>ELVIS DA SILVA SOARES</t>
  </si>
  <si>
    <t>FMF2C01</t>
  </si>
  <si>
    <t>REFERENTE A 2 CONSULTAS RASTER Nº 7312483 - SOLICITAÇÃO DEBORA - TICKET Nº 195825 - MOT. ELVIS DA SILVA SOARES</t>
  </si>
  <si>
    <t>JURACI ANTONIO FERREIRA DE SOUZA</t>
  </si>
  <si>
    <t>HJZ2B75</t>
  </si>
  <si>
    <t>REF. A PESQ. OPENTECH - CAVALO HJZ2B75 - MOT. JURACI ANTONIO FERREIRA DE SOUZA - SOLIC. POR DEBORA TICKET 195839 - DIA 30/04/2026</t>
  </si>
  <si>
    <t>REF. A DOIS ITENS PESQ. COMBO EXPRESSA + RDO RASTER 7312033 - CAVALO HJZ2B75 - MOT. JURACI ANTONIO FERREIRA DE SOUZA - SOLIC. POR DEBORA TICKET 195839 - DIA 30-04-26</t>
  </si>
  <si>
    <t>JOSE CARLOS DE FREITAS - OWL9232</t>
  </si>
  <si>
    <t>OPT5502</t>
  </si>
  <si>
    <t>REF. A UMA LIB. DE AUTONOMO SKYMARK 3896060 - CAVALO OPT5502 - MOT. JOSE CARLOS DE FREITAS - OWL9232 - SOLIC. POR Matheus Andrade Ferreira - TICKET 195842 - DIA 30/04/2026</t>
  </si>
  <si>
    <t>REFERENTE A 3 CONSULTAS RASTER Nº 7314219 - SOLICITAÇÃO DEBORA - TICKET Nº 195845 - MOT. LUIS ANTONIO MENDES SANTOS</t>
  </si>
  <si>
    <t>ANTONIO ROBINSON CANDIDO</t>
  </si>
  <si>
    <t>CZB1675</t>
  </si>
  <si>
    <t>REFERENTE A 2 PESQUISAS EXPRESSAS 1 RDO RASTER Nº 7311627 - SOLICITAÇÃO DEBORA - TICKET Nº 195851 - MOT.  ANTONIO ROBINSON CANDIDO</t>
  </si>
  <si>
    <t>REF A UMA LIBERAÇÃO AUTONOMA SKYMARK 3896390 - CAVALO KHE3E52- MOT. SILVIO ANDRE MARTINS DOS SANTOS-SOLIC. POR ALESSANDRO TICKET 195853-DIA 30/04/2026</t>
  </si>
  <si>
    <t xml:space="preserve">REF A UMA LIBERAÇÃO SKYMARK 3896587- CAVALO QNK6B12- MOT. PAULO JOSE DE ALMEIDA- SOLIC. POR ALESSANDRO -TICKET 195859- DIA 30/04/2026 </t>
  </si>
  <si>
    <t>REF A TRêS CONSULTAS RASTER 7315720- CAVALO  DVS1E43 - MOT. FERNANDO SANTOS OLIVEIRA- SOLIC. POR MARCELO - TICKET 195861 - DIA 30/04/2026</t>
  </si>
  <si>
    <t>REF A TRÊS CONSULTAS RASTER 7316908- CAVALO JCG9G10- MOT. REGIS DA ROCHA MUNIZ-SOLIC. POR DANIEL TICKET 195866- DIA 30/04/2026</t>
  </si>
  <si>
    <t>GEOVANE MESQUITA FERREIRA</t>
  </si>
  <si>
    <t>OWL9232</t>
  </si>
  <si>
    <t>REF A  UMA PESQUISA PESSOA  TRÊS PESQUISA VEICULO SKYMARK 3896916- CAVALO OWL9232- MOT. GEOVANE MESQUITA FERREIRA- SOLIC. POR VALNEI TICKET 195867- DIA 30/04/2026</t>
  </si>
  <si>
    <t>REFERENTE A PESQUISA SKYMARK Nº 3897455 - SOLICITAÇÃO ALESSANDRO - TICKET Nº 195869 - MOT GEORGE TORRES TEIXEIRA MOREIRA</t>
  </si>
  <si>
    <t>LUIZ FERNANDES GUIMARAES</t>
  </si>
  <si>
    <t>MRP2J91</t>
  </si>
  <si>
    <t>REFERENTE A 2 PESQUISAS EXPRESSA 1 NORMAL RASTER Nº7315322 - SOLICITAÇÃO FRANCISCO - TICKET Nº 195874 - MOT. LUIZ FERNANDES GUIMARAES</t>
  </si>
  <si>
    <t>ANTONIO DEYVID DE CASTRO GOMES MAIA</t>
  </si>
  <si>
    <t>SBF7D80</t>
  </si>
  <si>
    <t>REFERENTE A 1 PESQUISA EXPRESSA AVULSA 1 RDO RASTER Nº 7319056 - SOLICITAÇÃO JOÃO PEDRO - TICKET Nº 195878 - MOT. ANTONIO DEYVID DE CASTRO GOMES MAIA</t>
  </si>
  <si>
    <t>ANTONIA LARDENIA DE SOUSA FREITAS</t>
  </si>
  <si>
    <t>TIN0J07</t>
  </si>
  <si>
    <t>REFERENTE A 1 PESQUISA EXPRESSA AVULSA 1 RDO RASTER Nº 7319146 - SOLICITAÇÃO JOÃO PEDRO - TICKET Nº 195879 - MOT. ANTONIA LARDENIA DE SOUSA FREITAS</t>
  </si>
  <si>
    <t>LUIZ REINALDO BASQUERA</t>
  </si>
  <si>
    <t>MGO3E58</t>
  </si>
  <si>
    <t>REFERENTE A 1 PESQUISA EXPRESSA AVULSA E 1 CONSULTA RASTER Nº 7319436 - SOLICITAÇÃO JOÃO PEDRO - TICKET Nº 195881 - MOT. LUIZ REINALDO BASQUERA</t>
  </si>
  <si>
    <t>JOAO DA SILVA NERY</t>
  </si>
  <si>
    <t>AWR6C02</t>
  </si>
  <si>
    <t>REFERENTE A 1 PESQUISA NORMAL E 1 RDO RASTER Nº 7315330 - SOLICITAÇÃO GISELI - TICKET Nº 195882 - MOT. JOAO DA SILVA NERY</t>
  </si>
  <si>
    <t xml:space="preserve">REFERENTE A 3 CONSULTAS RASTER Nº  7326971  - SOLICITAÇÃO DANIEL - TICKET Nº 195885 - MOT. SILVANO CARDOSO MACHADO </t>
  </si>
  <si>
    <t>REFERENTE A PESQUISA SKYMARK Nº  3898491 - SOLICITAÇÃO ROBERTA -   TICKET Nº  195887 - MOT. RICARDO ALVES DAMASCENO</t>
  </si>
  <si>
    <t>ANTONIO EUDES FREITAS SILVA JUNIOR</t>
  </si>
  <si>
    <t>PNE4108</t>
  </si>
  <si>
    <t>REFERENTE A 2 CONSULTAS RASTER Nº 7397362 - SOLICITAÇÃO TALLES -TICKET Nº 195888 - MOT. ANTONIO EUDES FREITAS SILVA JUNIOR</t>
  </si>
  <si>
    <t>SAMUEL DELFINO DA ROCHA</t>
  </si>
  <si>
    <t>RFH6F39</t>
  </si>
  <si>
    <t>REFERENTE A 2 PESQUISAS RASTER COMBO Nº 7328117 - SOLICITAÇÃO CHRISTIAN - TICKET Nº 195889 - MOT.  SAMUEL DELFINO DA ROCHA</t>
  </si>
  <si>
    <t>ALUXAM DE SOUZA DA SILVA</t>
  </si>
  <si>
    <t>REFERENTE A 2 CONSULTAS RASTER Nº 7328396 - SOLICITAÇÃO FABIANA - TICKET Nº 195890 - MOT. ALUXAM DE SOUZA DA SILVA</t>
  </si>
  <si>
    <t>HUGO DE OLIVEIRA SANTOS</t>
  </si>
  <si>
    <t>KXX0C21</t>
  </si>
  <si>
    <t>REFERENTE A 2 CONSULTAS RASTER Nº 7328193 - SOLICITAÇÃO FABIANA - TICKET Nº 195868 - MOT. HUGO DE OLIVEIRA SANTOS</t>
  </si>
  <si>
    <t>DENILSON DA SILVA PONTES</t>
  </si>
  <si>
    <t>KZL1C92</t>
  </si>
  <si>
    <t>REFERENTE A 2 PEASQUISAS AVULSAS EXPRESSAS RASTER Nº 7329497 -SOLICITAÇÃO GRAZIELE - TICKET Nº 195892 - MOT. DENILSON DA SILVA PONTES</t>
  </si>
  <si>
    <t>SANDRO CURATO DAS NEVES</t>
  </si>
  <si>
    <t>DTE0A48</t>
  </si>
  <si>
    <t>REFERENTE A 1 PESQUISA AVULSA NORMAL RASTER Nº 7329382 - SOLICITAÇÃO JOÃO PEDRO - TICKET Nº  195896 - MOT. SANDRO CURATO DAS NEVES</t>
  </si>
  <si>
    <t>REFERENTE A CONSULTA SKYMARK Nº 3899544 - SOLICITAÇÃO ALESSANDRO - TICKET Nº 195899 - MOT. LUCAS FERREIRA VALENTIM</t>
  </si>
  <si>
    <t>MARCIO VIDAL COELHO</t>
  </si>
  <si>
    <t>IZX7I52</t>
  </si>
  <si>
    <t>REFERENTE A CONSULTA  SKYMARK Nº 3899622 - SOLICITAÇÃO  JEAN - TICKET Nº 195905 - MOT. MARCIO VIDAL COELHO</t>
  </si>
  <si>
    <t>REFERENTE A CONSULTA SKYMARK Nº 3899651 - SOLICITAÇÃO CLAUDIO - TICKET Nº 195912 - MOT. GEOVANE MESQUITA FERREIRA</t>
  </si>
  <si>
    <t>REFERENTE A CONSULTA SKYMARK Nº 3899638 - SOLICITAÇÃO CLAUDIO - TICKET Nº 195913 - MOT. JOSE CARLOS DE FREITAS - OWL9232</t>
  </si>
  <si>
    <t>WELINGTON ROCHA SILVA</t>
  </si>
  <si>
    <t>BWL1F05</t>
  </si>
  <si>
    <t>REFERENTE A 2 PESQUISAS EXPRESSAS COMBO RASTER Nº 7337597 - SOLICITAÇÃO  GABRIEL - TICKET Nº  195914  MOT WELINGTON ROCHA SILVA</t>
  </si>
  <si>
    <t>REFERENTE A CONSULTA SKYMARK Nº 3900029 - SOLICITAÇÃO THAIS - TICKET Nº 195921 - MOT. WEMERSON GUSTAVO MATOZO</t>
  </si>
  <si>
    <t>REFERENTE A CONSULTA OPENTECH (CONJUNTO/MOT) - SOLICITAÇÃO DEBORA - TICKET Nº 195923 - MOT.  IGOR APARECIDO FIALHO</t>
  </si>
  <si>
    <t>REFERENTE A CONSULTA SKYMARK Nº 3900274 - SOLICITAÇÃO THAIS - TICKET Nº 195928 - MOT. ELOIZIO BARROS DE OLIVEIRA</t>
  </si>
  <si>
    <t>REFERENTE A 3 PESQUISAS EXPRESSAS COMBO RASTER Nº 7338834 - SOLICITAÇÃO DEBORA - TICKET Nº 195938 - MOT.  AGNALDO APARECIDO PREVIATTI</t>
  </si>
  <si>
    <t>PAULO DE LIMA E SILVA</t>
  </si>
  <si>
    <t>MLP7G40</t>
  </si>
  <si>
    <t>REFERENTE A 2 PESQUISAS EXPRESSAS COMBO RASTER Nº 7337906 - SOLICITAÇÃO DEBORA - TICKET Nº 195940 - MOT.  PAULO DE LIMA E SILVA</t>
  </si>
  <si>
    <t>REFERENTE A PESQUISA OPENTECH RDO (CONJUNTO/MOT) - SOLICITAÇÃO DEBORA - TICKET Nº 195940 - MOT. PAULO DE LIMA E SILVA</t>
  </si>
  <si>
    <t>MARCIO KLEINHEMPEL</t>
  </si>
  <si>
    <t>JBL5I01</t>
  </si>
  <si>
    <t>REFERENTE A 2 PESQUISAS EXPRESSAS COMBO RASTER Nº 7337576 - SOLICITAÇÃO DEBORA - TICKET Nº 195942 - MOT. MARCIO KLEINHEMPEL</t>
  </si>
  <si>
    <t>REF A DUAS CONSULTAS RASTER 7338018- CAVALO MGW9E85- MOT. DIONE MARCOS MARETH-SOLIC. POR UELDER - TICKET 195954- DIA 04/05/2026</t>
  </si>
  <si>
    <t>GONCALO FRANCISCO DA SILVA</t>
  </si>
  <si>
    <t>BRN3F47</t>
  </si>
  <si>
    <t>REF A UMA RDO DUAS PESQUISAS COMBO NORMAL RASTER 7338114-CAVALO BRN3F47-  MOT. GONCALO FRANCISCO DA SILVA-DOLC. POR MARCELLI TICKET 195955-  DIA 04/05/2026</t>
  </si>
  <si>
    <t>MARCIANO ADELINO JANTZ</t>
  </si>
  <si>
    <t>SXS1F73</t>
  </si>
  <si>
    <t>REFERENTE A CONSULTA OPENTECH (CONJUNTO/MOT) - SOLICITAÇÃO DEBORA - TICKET Nº 195957 - MOT.  MARCIANO ADELINO JANTZ</t>
  </si>
  <si>
    <t>REF A UMA LIBERAÇÃO AUTONOMO SKYMARK 3901150-CAVALO PPG9G24- MOT. MICHAEL CAMPOS DE SOUSA-SOLIC. POR ALESSANDRO TICKET  195960- DIA 04/05/2026</t>
  </si>
  <si>
    <t>REF. A UMA LIBERAÇÃO AUTONOMA SKYMARK 3901138- CAVALO OWV8H94- MOT. ROBERSON ALVES DA CRUZ- SOLIC. POR ALESSANDRO -TICKET 195961- DIA 04/05/2026</t>
  </si>
  <si>
    <t>REF A UMA LIBERAÇÃO AUTONOMA SKYMARK 3901366- CAVALO IYG0I79- MOT. PEDRO EMANUEL DAMASCENO GOMES SILVA- SOLIC. POR ALESSANDRO - TICKET  195972- DIA 04/05/2026</t>
  </si>
  <si>
    <t>REF A UMA LIBERAÇÃO AUTONOMA SKYMARK 3901357- CAVALO OXA2D66- MOT. RONALDO ADRIANO ROSA- SOLIC. POR ALESSANDRO - TIKET 195973- DIA 04/05/2026</t>
  </si>
  <si>
    <t>REF A  QUATRO PESQUISAS SKYMARK 3901236- CAVALO AZJ8D51- MOT. FABIO ERNANE VIEIRA FIGUEIREDO- SOLIC. POR AMANDA TICKET 195976- DIA 04/05/2026</t>
  </si>
  <si>
    <t>OLC4F38</t>
  </si>
  <si>
    <t>REF A TRêS CONSULTAS RASTER 7341081- CAVALO OLC4F38- MOT. JAIMARY APARECIDO LIMA DE SANTANA- SOLIC. POR UELDER - TICKET 195981- DIA 04/05/2026</t>
  </si>
  <si>
    <t>EOE5730</t>
  </si>
  <si>
    <t>REF A TRêS PESQUISAS COMBO EXPRESSA RASTER 7340748-CAVALO EOE5730-MOT. MARCOS ROBERTO DOS SANTOS- SOLIC. POR DANIEL - TICKET 195984- 04/05/2026</t>
  </si>
  <si>
    <t>REF A UMA LIBERAÇÃO AUTONOMA SKYMARK 3901857- CAVALO EFO9B17- MOT. MIGUEL APARECIDO PEREIRA FILHO-SOLOIC. POR THAIS - TICKET 195985- DIA 04/05/2026</t>
  </si>
  <si>
    <t>REF A UMA LIBERAÇÃO AUTONOMA SKYMARK 3901979- CAVALO CPR2574- MOT. EDEMILSON EDSON GARCIA-SOLIC. POR VITOR HUGO - TICKET  195988-DIA 04/05/2026</t>
  </si>
  <si>
    <t>JUSCELINO ESTEFANES DE QUADROS</t>
  </si>
  <si>
    <t>BDI8D46</t>
  </si>
  <si>
    <t>REF A TRÊS CONSULTAS RASTER 7337416- CAVALO BDI8D46- MOT. JUSCELINO ESTEFANES DE QUADROS-SOLIC. POR UELDER -TICKET 195990- DIA 04/05/2026</t>
  </si>
  <si>
    <t>ARIEL GUIMARÃES FRANCISCO</t>
  </si>
  <si>
    <t>PZG0310</t>
  </si>
  <si>
    <t>REF A UMA RDO UMA PESQUISA COMBO NORMAL RASTER 7342449- CAVALO PZG0310- MOT.ARIEL GUIMARÃES FRANCISCO- SOLIC. POR GUSTAVO - TICKET 195995- DIA 04/05/2026</t>
  </si>
  <si>
    <t>REF A TRÊS LIBERAÇÕES SKYMARK 3902359- CAVALO QHU6H41- MOT. BRUNO ARCANJO MARTINS- SOLIC. POR ROBERTA - TICKET 195996 DIA 04/05/2026</t>
  </si>
  <si>
    <t>RONALDO PINTO CARDOSO</t>
  </si>
  <si>
    <t>EJY7G09</t>
  </si>
  <si>
    <t>REF A TRÊS PESQUISAS COMBO EXPRESSA RASTER 7302321- CAVALO EJY7G09- MOT. RONALDO PINTO CARDOSO- SOLIC. POR FRANCISCO -TICKET 195997- DIA 04/05/2026</t>
  </si>
  <si>
    <t>PAULO HENRIQUE COUTINHO DA SILVA</t>
  </si>
  <si>
    <t>CUD6G16</t>
  </si>
  <si>
    <t>REF A DUAS PESQUISAS COMBO EXPRESSA RASTER 7343898- CAVALO CUD6G16- MOT. PAULO HENRIQUE COUTINHO DA SILVA- SOLIC. POR RAFAEL TICKET 196003 DIA 04-05-2026</t>
  </si>
  <si>
    <t>ADEVILTON DO AMOR DIVINO DOS SANTOS</t>
  </si>
  <si>
    <t>SUB1A92</t>
  </si>
  <si>
    <t>REFERENTE A 2 CONSULTAS RASTER Nº 7348015 - SOLICITAÇÃO FABIANA - TICKET Nº 196006 - MOT.   ADEVILTON DO AMOR DIVINO DOS SANTOS</t>
  </si>
  <si>
    <t>REFERENTE A 3 CONSULTAS RASTER Nº 7351972 - SOLICITAÇÃO MATHEUS - TICKET Nº 196011 - MOT. ANTONIO VICENTE DA SILVA MQI</t>
  </si>
  <si>
    <t>DIOGO MARQUEZINO LOPES</t>
  </si>
  <si>
    <t>UDP1A64</t>
  </si>
  <si>
    <t>REFERENTE A 2 CONSULTAS RASTER Nº 7351654 - SOLICITAÇÃO FABIANA - TICKET Nº 196007 - MOT. DIOGO MARQUEZINO LOPES</t>
  </si>
  <si>
    <t>REFERENTE A 3 CONSULTAS RASTER Nº 7351969 - SOLICITAÇÃO MATHEUS - TICKET Nº 196009 - MOT. ANTONIO CARLOS PEREIRA - JOM 3046</t>
  </si>
  <si>
    <t>DARLAN VINICIO DUARTE</t>
  </si>
  <si>
    <t>IUT1E98</t>
  </si>
  <si>
    <t>REFERENTE A PESQUISA SKYMARK (CONJUNTO/MOT) Nº 3902751 - SOLICITAÇÃO ROBERTA - TICKET Nº 196010 - MOT. DARLAN VINICIO DUARTE</t>
  </si>
  <si>
    <t>JOAO LUCAS DE OLIVEIRA ESTEVAM</t>
  </si>
  <si>
    <t>MTV3J74</t>
  </si>
  <si>
    <t>REFERENTE A 2 PESQUISA NORMAL COMBO RASTER Nº 7341786 - SOLICITAÇÃO THAIS - TICKET Nº 195998 - MOT. JOAO LUCAS DE OLIVEIRA ESTEVAM</t>
  </si>
  <si>
    <t>REFERENTE A CONSULTA OPENTECH (CONJUNTO/MOT) - SOLICITAÇÃO DEBORA - TICKET Nº 196023 - MOT. RODRIGO ANTONIO MAIOCHI</t>
  </si>
  <si>
    <t>REFERENTE A CONSULTA OPENTECH (CONJKUNTO/MOT) - SOLICITAÇÃO DEBORA - TICKET Nº 196024 - MOT. ROBSON DANIEL PIVETTA</t>
  </si>
  <si>
    <t>ERIK GABRIEL DE MOURA JORDAO</t>
  </si>
  <si>
    <t>REFERENTE A 2 PESQUISAS COMBO EXPRESSA RASTER Nº 7352273 - SOLICITAÇÃO DEBORA - TICKET Nº 196034 - MOT. ERIK GABRIEL DE MOURA JORDAO</t>
  </si>
  <si>
    <t>REFERENTE A CONSULTA SKYMARK Nº 3903678 - SOLICITAÇÃO ALESSANDRO - TICKET Nº 196037 - MOT. WALISSON FERNANDES DE SA</t>
  </si>
  <si>
    <t>REFEERENTE A 3 CONSULTAS RASTER Nº 7354089 - SOLICITAÇÃO DEBORA - TICKET Nº 196039 - MOT. ERIQUE AMARO DA SILVA</t>
  </si>
  <si>
    <t>REFERENTE A 1 PESQUISA NORMAL AVULSA 2 CONSULTAS RASTER Nº 7352525 - TICKET Nº 196042 - MOT.  DAVI MACHADO DA SILVA</t>
  </si>
  <si>
    <t>EDUARDO SOUZA DA ROCHA</t>
  </si>
  <si>
    <t>JCP6C27</t>
  </si>
  <si>
    <t>REFERENTE A 2 PESQUISAS NORMAL COMBO 1 RDO RASTER Nº 7341414 - SOLICITAÇÃO ISMAEL - TICKET Nº 196043 - MOT. EDUARDO SOUZA DA ROCHA</t>
  </si>
  <si>
    <t>CRISTIANO DA SILVA OLIVEIRA</t>
  </si>
  <si>
    <t>OIM9454</t>
  </si>
  <si>
    <t>REFERENTE A 2 CONSULTAS RASTER Nº 7354391 - SOLICITAÇÃO GRAZIELE - TICKET Nº 196045 - MOT. CRISTIANO DA SILVA OLIVEIRA</t>
  </si>
  <si>
    <t>RAFAEL VITOR FERNANDES</t>
  </si>
  <si>
    <t>MTC4J84</t>
  </si>
  <si>
    <t>REFERENTE A PESQUISA SKYMARK Nº 3903727 - SOLICITAÇÃO ALESSANDRO - TICKET Nº 196048 - MOT. RAFAEL VITOR FERNANDES</t>
  </si>
  <si>
    <t>REFERENTE A 3 CONSULTAS RASTER Nº 7354509 - SOLICITAÇÃO DEBORA - TICKET Nº 196049 - MOT. MARCIO LOPES PEREIRA</t>
  </si>
  <si>
    <t>REFERENTE A CONSULTA OPENTECH (CONJUNTO/MOT) - SOLICITAÇÃO DEBORA - TICKET Nº 196050 - MOT. MANOEL RODRIGUES DA SILVA</t>
  </si>
  <si>
    <t>NILTON CESAR ANACLETO</t>
  </si>
  <si>
    <t>SXQ9E70</t>
  </si>
  <si>
    <t>REFERENTE A CONSULTA OPENTECH (CONJUNTO/MOT) - SOLICITAÇÃO DEBORA - TICKET Nº 196053  - MOT. NILTON CESAR ANACLETO</t>
  </si>
  <si>
    <t>MAICO STOCK</t>
  </si>
  <si>
    <t>SXL7B89</t>
  </si>
  <si>
    <t>REFERENTE A CONSULTA OPENTECH (CONJUNTO/MOT) - SOLICITAÇÃO DEBORA - TICKET Nº 196055 - MOT. MAICO STOCK</t>
  </si>
  <si>
    <t>RAFAEL PUGAS</t>
  </si>
  <si>
    <t>FRR0I45</t>
  </si>
  <si>
    <t>REFERENTE A 2 PESQUISAS EXPRESSA COMBO 1 RDO RASTER Nº 7352593 - SOLICITAÇÃO DEBORA - TICKET Nº 196059 - MOT. RAFAEL PUGAS</t>
  </si>
  <si>
    <t>BENIVALDO PEREIRA MONTEIRO</t>
  </si>
  <si>
    <t>TEB2C75</t>
  </si>
  <si>
    <t>REF A UMA RDO UMA PESQUISA COMBO NORMAL RASTER 7352499- CAVALOTEB2C75-MOT. BENIVALDO PEREIRA MONTEIRO-SOLIC. POR GUSTAVO -TICKET 196063- DIA 05/05/2026</t>
  </si>
  <si>
    <t>LUIZ MICHEL RIEG</t>
  </si>
  <si>
    <t>SXH4D51</t>
  </si>
  <si>
    <t>REF A UMA RDO UMA PESQUISA CONJUNTO OPENTECH - CAVALO SXH4D51- MOT. LUIZ MICHEL RIEG- SOLIC. POR DEBORA TICKET 196064- DIA 05-05-2026</t>
  </si>
  <si>
    <t>JULIO CESAR THEISS</t>
  </si>
  <si>
    <t>TPI1G03</t>
  </si>
  <si>
    <t>REFERENTE A CONSULTA OPENTECH (CONJUNTO/MOT) - SOLICITAÇÃO DEBORA - TICKET Nº 196067 - MOT. JULIO CESAR THEISS</t>
  </si>
  <si>
    <t>REF A UMA LIBERAÇÃO AUTONOMA SKYMARK 3904819- CAVALO RVK3J02- MOT. NEIMAR SILVA DO CARMO- SOLIC. POR JEAN - TICKET 196074 - DIA 05-05-2026</t>
  </si>
  <si>
    <t>AGNALDO HONORATO</t>
  </si>
  <si>
    <t>OYK4J19</t>
  </si>
  <si>
    <t>06.12</t>
  </si>
  <si>
    <t>REFERENTE A 2 PESQUISAS NORMAL COMBO RASTER Nº 7337550 - SOLICITAÇÃO ANTONIO - TICKET Nº 196088 - MOT. AGNALDO HONORATO</t>
  </si>
  <si>
    <t>SEBASTIAO DA CRUZ MARQUES</t>
  </si>
  <si>
    <t>REFERENTE A CONSULTA SKYMARK Nº 3905377 - SOLICITAÇÃO ALESSANDRO - TICKET Nº 196089 - MOT. SEBASTIAO DA CRUZ MARQUES</t>
  </si>
  <si>
    <t>REFERENTE A CONSULTA SKYMARK Nº 3905369 - SOLICITAÇÃO ALESSANDRO - TICKET Nº 196090 - MOT. WANDERSON PIRES DA SILVA</t>
  </si>
  <si>
    <t>WESCLEY DE OLIVEIRA</t>
  </si>
  <si>
    <t>CUC6702</t>
  </si>
  <si>
    <t>REF A  TRêS PESQUISAS COMBO EXPRESSA RASTER 7356892- CAVALO CUC6702- MOT. WESCLEY DE OLIVEIRA- SOLIC. POR FRANCISCO TICKET 196096- DIA 05/05/2026</t>
  </si>
  <si>
    <t>LUIS FELIPE LIMA DORNELES</t>
  </si>
  <si>
    <t>IOB7A18</t>
  </si>
  <si>
    <t>REF A UMA RDO UMA CONSULTA RASTER 7340466 -CAVALO IOB7A18- MOT. LUIS FELIPE LIMA DORNELES- SOLIC. POR GRAZIELE TICKET 196094- DIA 05/05/2026</t>
  </si>
  <si>
    <t>JEFERSON HENRIQUE DE CARVALHO</t>
  </si>
  <si>
    <t>QUY4J37</t>
  </si>
  <si>
    <t>REF A UMA RDO UMA PESQUISA AVULSA NORMAL RASTER 7329328 CAVALO QUY4J37 MOT. JEFERSON HENRIQUE DE CARVALHO SOLIC. POR JOÃO PEDRO TICKET 196098 DIA 05/05/2026</t>
  </si>
  <si>
    <t>FLAVIO FERREIRA LEITE</t>
  </si>
  <si>
    <t>IUK6F70</t>
  </si>
  <si>
    <t>REFERENTE A 2 PESQUISAS AVULSAS EXPRESSAS Nº 7359710 - SOLICITAÇÃO JOÃO PEDRO - TICKET Nº 196100 - MOT. FLAVIO FERREIRA LEITE</t>
  </si>
  <si>
    <t>FABIO ERNESTO DE SOUSA</t>
  </si>
  <si>
    <t>EJY3575</t>
  </si>
  <si>
    <t>REFERENTE A 2 PESQUISAS AVULSAS EXPRESSAS Nº 7360007 - SOLICITAÇÃO JOÃO PEDRO - TICKET Nº 196101 - MOT. FABIO ERNESTO DE SOUSA</t>
  </si>
  <si>
    <t>PAULO SERGIO ALVES CUNHA</t>
  </si>
  <si>
    <t>GMX6I16</t>
  </si>
  <si>
    <t>REFERENTE A CONSULTA SKYMARK Nº 3906252 - SOLICITAÇÃO ALESSANDRA - TICKET Nº 196105 - MOT. PAULO SERGIO ALVES CUNHA</t>
  </si>
  <si>
    <t>JORGE VELCI DOS SANTOS JUNIOR</t>
  </si>
  <si>
    <t>ICL1C36</t>
  </si>
  <si>
    <t>REFERENTE A 2 3 PESQUISAS EXPRESSAS RASTER Nº 7355567 - SOLICITAÇÃO GABRIEL - TICKET Nº 196107 - MOT. JORGE VELCI DOS SANTOS JUNIOR</t>
  </si>
  <si>
    <t>REFERENTE A 3 CONSULTAS  RASTER Nº  7360478 - SOLICITAÇÃO ERICK - TICKET Nº 196110 - MOT. EDICLEITON DA SILVA MOREIRA</t>
  </si>
  <si>
    <t>JOSE ANTONIO DA COSTA FREIRE</t>
  </si>
  <si>
    <t>AXB9736</t>
  </si>
  <si>
    <t>REFERENTE A CONSULTA OPENTECH (CONJUNTO/MOT) - SOLICITAÇÃO DEBORA - TICKET Nº 196112 - MOT. JOSE ANTONIO DA COSTA FREIRE</t>
  </si>
  <si>
    <t>JEFFERSON SOCORRO MARQUES -083</t>
  </si>
  <si>
    <t>QJI8B26</t>
  </si>
  <si>
    <t>REFERENTE A PESQUISA SKYMARK Nº 3906453 - SOLICITAÇÃO ALESSANDRO - TICKET Nº 196114 - MOT. JEFFERSON SOCORRO MARQUES -083</t>
  </si>
  <si>
    <t>DOUGLAS CARDOSO PADILHA</t>
  </si>
  <si>
    <t>ODH9F76</t>
  </si>
  <si>
    <t>REFERENTE A 2 PESQUISAS NORMAL RASTER Nº 7358204 - SOLICITAÇÃO ISMAEL - TICKET Nº 196120 - MOT. DOUGLAS CARDOSO PADILHA</t>
  </si>
  <si>
    <t>REFERENTE A CONSULTA OPENTECH (CONJUNTO/MOT) -SOLICITAÇÃO DEBORA - TICKET Nº 196122  - MOT. ANTONIO MARCOS COLACO</t>
  </si>
  <si>
    <t>REFERENTE A 3 CONSULTAS RASTER Nº 7362382 - SOLICITAÇÃO DEBORA - TICKET Nº 196128  - MOT. DERALDO RODRIGUES PEREIRA</t>
  </si>
  <si>
    <t>REFERENTE A CONSULTA OPENTECH (CONJUNTO/MOT) - SOLICITAÇÃO DEBORA - TICKET Nº 196129 - MOT. CRISTIANO JEAN JORDAO</t>
  </si>
  <si>
    <t>LUCAS MAYCON JORDAO</t>
  </si>
  <si>
    <t>REFERENTE A CONSULTA OPENTECH (CONJUNTO/MOT) - SOLICITAÇÃO DEBORA - TICKET Nº 196130 - MOT. LUCAS MAYCON JORDAO</t>
  </si>
  <si>
    <t>LUIZ ALEXANDRE VALENTE ROSSO</t>
  </si>
  <si>
    <t>RHJ5E60</t>
  </si>
  <si>
    <t>REFERENTE A 2 PESQUISAS NORMAL COMBO RASTER Nº 7360916 - SOLICITAÇÃO EDVAN - TICKET Nº 196131 - MOT. LUIZ ALEXANDRE VALENTE ROSSO</t>
  </si>
  <si>
    <t>GERALDO AARAO LIMA</t>
  </si>
  <si>
    <t>NUD0486</t>
  </si>
  <si>
    <t>REF A QUATRO LIBERAÇÕES SKYMARK 3907414 CAVALO NUD0486 MOT. GERALDO AARAO LIMA SOLIC. POR MATHEUS TICKET 196143 DIA 06/05/2026</t>
  </si>
  <si>
    <t>LAUDEMIR CUSTODIO</t>
  </si>
  <si>
    <t>SXE9D28</t>
  </si>
  <si>
    <t>REFERENTE A 2 PESQUISAS EXPRESSAS RASTER Nº 7362080 - SOLICITAÇÃO DEBORA - TICKET Nº 196152 - MOT. LAUDEMIR CUSTODIO</t>
  </si>
  <si>
    <t>JOSE ELVIS MARTINS PARENTE</t>
  </si>
  <si>
    <t>SDS8D55</t>
  </si>
  <si>
    <t>REF A UMA RDO DUAS PESQUISAS COMBO NORMAL RASTER 7363792 CAVALO SDS8D55 MOT. JOSE ELVIS MARTINS PARENTE SOLIC. POR MARCELO TICKET 196181 DIA 06-05-2026</t>
  </si>
  <si>
    <t>JOS9C63</t>
  </si>
  <si>
    <t>REF A TRÊS CONSULTAS RASTER 736614 CAVALO JOS9C63 MOT. FERNANDO SANTOS OLIVEIRA SOLIC. POR MARCELO TICKET 196182- DIA 06-05-2026</t>
  </si>
  <si>
    <t>NATANAEL LUIZ NOGUEIRA</t>
  </si>
  <si>
    <t>JBE8F91</t>
  </si>
  <si>
    <t>REF A TRÊS PESQUISAS AVULSA EXPRESSA RASTER 7343044 CAVALO JBE8F91 MOT. NATANAEL LUIZ NOGUEIRASOLIC. POR MARCELO TICKET 196183 DIA 06/05/2026</t>
  </si>
  <si>
    <t>NIVALDO FELIPE DE LIRA JUNIOR</t>
  </si>
  <si>
    <t>JLO9J74</t>
  </si>
  <si>
    <t>REF A TRÊS PESQUISAS COMBO EXPRESSA RASTER 7363263 CAVALO JLO9J74 MOT. NIVALDO FELIPE DE LIRA JUNIOR SOLIC. POR FRANCISCO TICKET 196184 DIA 06/05/2026</t>
  </si>
  <si>
    <t>HGJ8D61</t>
  </si>
  <si>
    <t>REF A TRÊS PESQUISAS AVULSA NORMAL RASTER 7365224 CAVALO HGJ8D61 MOT. ROBERTO VIRGOLINO DE FARIAS SOLIC POR TIAGO TICKET 196187 DIA 06/05/2026</t>
  </si>
  <si>
    <t>HENRIQUE DA SILVA DANTAS</t>
  </si>
  <si>
    <t>REF A DUAS CONSULTAS RASTER 7366686 CAVALO FMD3I95 MOT. HENRIQUE DA SILVA DANTAS SOLIC POR FABIANA TICKET 196189 DIA 05/05/2026</t>
  </si>
  <si>
    <t>REF A TRêS CONSLTAS RASTER 7366750 CAVALO DHE7F65 MOT. ANDERSON LEANDRO RAPHAELLI SOLIC POR DANIEL TICKET 196190 DIA 06/05/2026</t>
  </si>
  <si>
    <t>REF. A LI. OPENTECH - CAVALO RYL2H78 - MOT. HUMBERTO LUIS HILLE - SOLIC. POR DEBORA TICKET 196196 - DIA 07/05/2026</t>
  </si>
  <si>
    <t>REFERENTE A 3 PEQUISAS EXPRESSAS RASTER Nº 7374613 - SOLICITAÇÃO DEBORA - TICKET Nº 196217 - MOT. RAFAEL FONTINELE FROTA</t>
  </si>
  <si>
    <t>MAIKON STEFFANO DA SILVA</t>
  </si>
  <si>
    <t>JAP8H94</t>
  </si>
  <si>
    <t>REFERENTE A 3 CONSULTAS RASTER Nº 7375756 - SOLICITAÇÃO GABRIEL - TICKET Nº 196227 - MOT. MAIKON STEFFANO DA SILVA</t>
  </si>
  <si>
    <t>CLEBER FELLIPE PERES LIMA</t>
  </si>
  <si>
    <t>DPF2D31</t>
  </si>
  <si>
    <t>REFERENTE A 2 PESQUISAS EXPRESSAS RASTER Nº 7374155 - SOLICITAÇÃO DEBORA - TICKET Nº 196229 - MOT. CLEBER FELLIPE PERES LIMA</t>
  </si>
  <si>
    <t>RAFAEL MONTEIRO BUENO PACHECO</t>
  </si>
  <si>
    <t>RYT6C27</t>
  </si>
  <si>
    <t>REFERENTE A CONSULTA OPENTECH (CONJUNTO/MOT) - SOLICITAÇÃO DEBORA - TICKET Nº 196232 - MOT. RAFAEL MONTEIRO BUENO PACHECO</t>
  </si>
  <si>
    <t>REF A UMA RDO E UMA PESQUISA CONJUNTO OPENTECH - CAVALO MFF9D33 - MOT.VICTOR CASA LORINI -SOLIC. POR DEBORA TICKET 196239DIA 07/05/2026</t>
  </si>
  <si>
    <t>REF A DUAS CONSULTAS RASTER 7376910 CAVALO IGQ2977 MOT. NILSON ROSA BOM SOLIC. POR SANDRO TICKET 196240 DIA 07/05/2026</t>
  </si>
  <si>
    <t>PAULO ROBERTO DOS SANTOS - 10131530658</t>
  </si>
  <si>
    <t>MSN6I14</t>
  </si>
  <si>
    <t>REF A TRÊS PESQUISAS COMBO EXPRESSA RASTER 7377016 CAVALO MSN6I14 MOT. PAULO ROBERTO DOS SANTOS - 10131530658 SOLIC. POR DEBORA TICKET 196241 DIA 07/05/2026</t>
  </si>
  <si>
    <t>REF A  UMA LIBERAÇÃO AUTONOMA SKYMARK 3910965 CAVALO CPR2574 MOT. EDEMILSON EDSON GARCIA SOLIC. POR THAIS TICKET 196243 DIA 07/05/2026</t>
  </si>
  <si>
    <t>ANDERSON ALDRIN DE OLVEIRA</t>
  </si>
  <si>
    <t>HDI9820</t>
  </si>
  <si>
    <t>REF A DUAS PESQUISAS AVULSA NORMAL RASTER 7373786 CAVALO HDI9820 MOT. ANDERSON ALDRIN DE OLVEIRA SOLIC POR GRAZIELE TICKET 196248 DIA 07/05/2026</t>
  </si>
  <si>
    <t>JEFERSON ANTUNES DE OLIVEIRA</t>
  </si>
  <si>
    <t>QJO0B55</t>
  </si>
  <si>
    <t>REF A UMA RDO UMA PESQUISA OPENTECH CAVALO QJO0B55 MOT. JEFERSON ANTUNES DE OLIVEIRA SOLIC. POR DEBORA TICKET 196250- DIA 07/05/2026</t>
  </si>
  <si>
    <t>FABRICIO MENDES TIAGO</t>
  </si>
  <si>
    <t>SXA0A06</t>
  </si>
  <si>
    <t>REF A UMA RDO DUAS PESQUISAS COMBO EXPRESSA RASTER 7376673 CAVALO SXA0A06 MOT. FABRICIO MENDES TIAGO SOLIC. POR DEBORA TICKET  DIA 07/05/2026</t>
  </si>
  <si>
    <t>REF A TRÊS CONSULTAS RASTER 7366134 CAVALO JSQ9775 MOT. JOSE CARLOS GOMES DOS SANTOS SOLIC. POR MARCELO TICKET 196257 DIA 07/05/2026</t>
  </si>
  <si>
    <t>ANTONIO ALVES FILHO</t>
  </si>
  <si>
    <t>FBQ2E56</t>
  </si>
  <si>
    <t>REF A UMA PESQUISA AVUSLSA NORMAL DUAS CONSULTAS RASTER 7363548 CAVALO FBQ2E56 MOT. ANTONIO ALVES FILHO SOLIC. POR MARCELO TICKET 196258 DIA 07/05/2026</t>
  </si>
  <si>
    <t>REF A UMA RDO UMA  PESQUISA OPENTECH CAVALO TPI1G03 MOT. JULIO CESAR THEISS SOLIC. POR GABRIEL TICKET 196261 DIA 07/05/2026</t>
  </si>
  <si>
    <t>REF A UMA LIBERAÇÃO AUTOMONA SKYMARK 3911990 CAVALO EFO9B17 MOT. MIGUEL APARECIDO PEREIRA FILHO SOLIC. POR VICTOR HUGO TICKET 196266 DIA 07/05/2026</t>
  </si>
  <si>
    <t>REF A UMA LIBERAÇÃO SKYMARK CAVALO QHU6H41 MOT. BRUNO ARCANJO MARTINS SOLIC POR ROBERTA TICKET 196269 DIA 07/05/2026</t>
  </si>
  <si>
    <t>SAMUEL BRUNO DE SENA SANTOS</t>
  </si>
  <si>
    <t>REF A UMA RDO UMA CONSULTA RASTER 7380132 CAVALO TIN0J07 MOT. SAMUEL BRUNO DE SENA SANTOS SOLIC. POR JOÃO PEDRO TICKET 196274 DIA 07/05/2026</t>
  </si>
  <si>
    <t>TIAGO MARCIO GUALBERTO</t>
  </si>
  <si>
    <t>HOA2E62</t>
  </si>
  <si>
    <t>REF A UMA LIBERAÇÃO AUTONOMA SKYMARK 3912251CAVALO HOA2E62 MOT. TIAGO MARCIO GUALBERTO SOLIC. POR ROBERTA TICKET 196276 DIA 07/05/2026</t>
  </si>
  <si>
    <t>TIAGO JUNIO DIAS ANDRADE</t>
  </si>
  <si>
    <t>REF A UMA LIBERAÇÃO AUTONOMA SKYMARK 3912250 CAVALO HHY4D56 MOT. TIAGO JUNIO DIAS ANDRADE SOLIC. POR ROBERTA TICKET 196277DIA 07/05/2026</t>
  </si>
  <si>
    <t>REF A TRêS CONSULTAS RASTER 7380218 CAVALO OOF0E73 MOT. LIVIOMAR RABELO FILHO SOLIC. POR FRANCISCO TICKET 196280 DIA 07/05/2026</t>
  </si>
  <si>
    <t>RODRIGO FRANCISCO DOS SANTOS</t>
  </si>
  <si>
    <t>AWN9H13</t>
  </si>
  <si>
    <t>12.01</t>
  </si>
  <si>
    <t>REFERENTE A 2 PESQUISAS NORMAL COMBO 1 RDO RASTER Nº 7375363 - SOLICITAÇÃO ANTONIO - TICKET Nº 196288 - MOT RODRIGO FRANCISCO DOS SANTOS</t>
  </si>
  <si>
    <t>FELIPE DE OLIVEIRA NUNES</t>
  </si>
  <si>
    <t>IVV6736</t>
  </si>
  <si>
    <t>REFERENTE A 2 PESQUISAS NORMAL COMBO 1 RDO RASSTER Nº 7378432 - SOLICITAÇÃO ISMAEL - TICKET Nº 196289 - MOT. FELIPE DE OLIVEIRA NUNES</t>
  </si>
  <si>
    <t>REFERENTE A CONSULTA OPENTECH (CONJUNTO/MOT) - SOLICITAÇÃO DEBORA - TICKET Nº 196294 - MOT. CLEITON PEREIRA DOMINGOS</t>
  </si>
  <si>
    <t>REFERENTE A CONSULTA OPENTECH (CONJUNTO/MOT) - SOLICITAÇÃO DEBORA - TICKET Nº 196297 - MOT. ALBERT LUIZ MOGNON</t>
  </si>
  <si>
    <t>REFERENTE A CONSULTA OPENTECH (CONJUNTO/MOT) - SOLICITAÇÃO DEBORA - TICKET Nº 196298 - MOT. MARCOS ROBERTO GONCALVES</t>
  </si>
  <si>
    <t>REFERENTE A 2 PESQUISAS EXPRESSAS 1 RDO RASTER Nº 7386660 - SOLICITAÇÃO DEBORA - TICKET Nº 196314 - MOT. CLAUDIO QUIRIBERTO DO NASCIMENTO</t>
  </si>
  <si>
    <t>MAURICIO MACHADO DA SILVEIRA</t>
  </si>
  <si>
    <t>JCO8I90</t>
  </si>
  <si>
    <t>REFERENTE A 2 PESQUISAS EXPRESSAS 1 RDO RASTER Nº 7387791 - SOLICITAÇÃO DEBORA - TICKET Nº 196317 - MOT. MAURICIO MACHADO DA SILVEIRA</t>
  </si>
  <si>
    <t>REF. A DUAS CONSULTAS RASTER 7389377 - CAVALO HRO1D18 - MOT. LEANDRO MUNHOZ BALLERO - SOLIC. POR Rafael da Silva Patricio - TICKET 196319 - DIA 08-05-2026</t>
  </si>
  <si>
    <t>REF A TRÊS CONSULTAS RASTER 7389681CAVALO DVS1E43 MOT. FERNANDO SANTOS OLIVEIRASOLIC. POR MARCELO TICKET  196322 DIA 08/05/2026</t>
  </si>
  <si>
    <t>LUIS FILIPE ANDRADE ALVES</t>
  </si>
  <si>
    <t>OMB6A63</t>
  </si>
  <si>
    <t>REFERENTE PESQUISA SKYMARK Nº 3914322 - SOLICITAÇÃO ALESSANDRO - TICKET Nº 196336 - MOT. LUIS FILIPE ANDRADE ALVES</t>
  </si>
  <si>
    <t xml:space="preserve">FLAVIO DE ALMEIDA COSTA </t>
  </si>
  <si>
    <t>SYK4H77</t>
  </si>
  <si>
    <t>REF A QUATRO LIBERAÇÃOES SKYMARK 3914264-CAVALO SYK4H77 MOT. FLAVIO DE ALMEIDA COSTA SOLIC. POR ALESSANDRO  TICKET 196337 DIA 08/05/2026</t>
  </si>
  <si>
    <t>TIAGO BATISTA DE SOUZA</t>
  </si>
  <si>
    <t>RMH4A81</t>
  </si>
  <si>
    <t>REFERENTE A PESQUISA SKYMARK Nº 3914432 - SOLICITAÇÃO ROBERTA - TICKET Nº  196399 - MOT. TIAGO BATISTA DE SOUZA</t>
  </si>
  <si>
    <t>REF A  CINCO LIBERAÇÕES SKYMARK 3914226 CAVALO RTS9D01 MOT. WEMERSON GUSTAVO MATOZO SOLIC. POR  VALNEI TICKET 196340 DIA 08/05/2026</t>
  </si>
  <si>
    <t>REF A UMA LIBERAÇÃO SKYMARK 3914486 CAVALO NYW8F44 MOT. DOUGLAS ELIESER ALVARENGA SOLIC. POR ALESSANDRO TICKET 196341 DIA 08/05/2026</t>
  </si>
  <si>
    <t>REF A DUAS CONSULTAS RASTER 7391213 CAVALO IIA1480 MOT. HEBER RODRIGUEZ MUNIZ SOLIC. POR SANDRO TOCKET 196349 DIA 08/05/2026</t>
  </si>
  <si>
    <t>GERMANO GIL DE MORAES</t>
  </si>
  <si>
    <t>PPX7A26</t>
  </si>
  <si>
    <t>REF A UMA RDO DUAS CONSULTAS COMBO NORMAL RASTER 7390404 CAVALO MOT. GERMANO GIL DE MORAES SOLIC POR GABRIEL TICKET 196350 DIA 08/05/2026</t>
  </si>
  <si>
    <t>REF A UMA LIBERAÇÃO SKYMARK 3915199 CAVALO QQR2383 MOT. ROMILSON DELFINO DE OLIVEIRA SOLIC. POR VALNEI TICKET 196356 DIA 08/05/2026</t>
  </si>
  <si>
    <t>TAC LUIZ CARLOS DIAS</t>
  </si>
  <si>
    <t>HMV4E28</t>
  </si>
  <si>
    <t>REF. A PESQ. SKYMARK 3914599 - CAVALO HMV4E28 - MOT. TAC LUIZ CARLOS DIAS - SOLIC. POR  Alessandro Lagares Ferreira - TICKET 196362 - DIA 09-05-26</t>
  </si>
  <si>
    <t>Silvio Andre Martins dos Santos</t>
  </si>
  <si>
    <t>REF. A LIB. DE AUTONOMO SKYMARK 3915714  - CAVALO KHE3E52 - MOT. SILVIO ANDRE MARTINS DOS SANTOS - SOLIC. POR Alessandro Lagares Ferreira - TICKET 196363 - DIA 09-05-26</t>
  </si>
  <si>
    <t>GEILSON APARECIDO FERREIRA</t>
  </si>
  <si>
    <t>HOE1F15</t>
  </si>
  <si>
    <t>REF. A LIB. OPENTECH - CAVALO HOE1F15 - MOT. GEILSON APARECIDO FERREIRA - SOLIC. POR Debora Morgado - TICKET 196365 - DIA 09-05-26</t>
  </si>
  <si>
    <t>LEONARDO SIMAO DOS SANTOS</t>
  </si>
  <si>
    <t>RIT6B11</t>
  </si>
  <si>
    <t>REF. A DOIS ITENS PESQ. COMBO NORMAL + RDO RASTER 7399802 - CAVALO RIT6B11 - MOT. LEONARDO SIMAO DOS SANTOS - DIA 09-05-26</t>
  </si>
  <si>
    <t>REF. A UMA LIB. DE AUTONOMO SKYMARK 3916015 - CAVALO SHP8F13 - MOT. Eloizio Barros de Oliveira - SOLIC. POR Valnei Ermelindo da Silva Junior - TICKET 196374 - DIA 09-05-26</t>
  </si>
  <si>
    <t>REF. A DUAS CONSULTAS RASTER 7400730 - CAVALO FMF2C01 - MOT. ELVIS DA SILVA SOARES - SOLIC. POR Graziele Thainara Basso - TICKET  196375 DIA 09-05-26</t>
  </si>
  <si>
    <t>ANDERSON RITTER RICKROT</t>
  </si>
  <si>
    <t>MII2H25</t>
  </si>
  <si>
    <t>REF. A DOIS ITENS PESQ. COMBO NORMAL + RDO RASTER 7400639 - CAVALO MII2H25 - MOT. ANDERSON RITTER RICKROT - SOLIC. POR Ismael da Silva Saraiva - TICKET  196372 - DIA 09-05-26</t>
  </si>
  <si>
    <t>REF. A DUAS CONSULTAS RASTER 7400442 - CAVALO TIN0J07 - MOT. SAMUEL BRUNO DE SENA SANTOS - SOLIC. POR Graziele Thainara Basso - TICKET 196379 - DIA 09/05/26</t>
  </si>
  <si>
    <t>ALBERTO JOSE DA SILVA</t>
  </si>
  <si>
    <t>CUE0727</t>
  </si>
  <si>
    <t>REF. A DOIS ITENS PESQ. COMBO NORMAL + RDO RASTER CUE0727 - MOT. ALBERTO JOSE DA SILVA - SOLIC. POR  Antonio Heleno da Silva Dettmann - TICKET  196370 - DIA 09-05-26</t>
  </si>
  <si>
    <t>REFERENTE A CONSULTA SKYMARK Nº 3917127 - SOLICITAÇÃO THAIS - TICKET Nº 196388 - MOT. EDEMILSON EDSON GARCIA</t>
  </si>
  <si>
    <t>REFERENTE A CONSULTA OPENTECH (CONJUNTO/MOT) - SOLICITAÇÃO DEBORA - TICKET Nº 196393 - MOT. FABIO EDUARDO ROSSI</t>
  </si>
  <si>
    <t>REFERENTE A CONSULTA SKYMARK Nº 3917306 - SOLICITAÇÃO MATHEUS - TICKET Nº 196395 - MOT. GERALDO AARAO LIMA</t>
  </si>
  <si>
    <t>REFERENTE A CONSULTA OPENTECH (CONJUNTO/MOT) - SOLICITAÇÃO DEBORA - TICKET Nº 196397 - MOT. ELIAS EMANUEL PASTORE</t>
  </si>
  <si>
    <t>REFERENTE A 3 CONSULTAS RASTER Nº 7411053 - SOLICITAÇÃO DEBORA - TICKET Nº 196399 - MOT. FELIPE GONÇALVES DA SILVA</t>
  </si>
  <si>
    <t>DANRLEI FERNANDES</t>
  </si>
  <si>
    <t>MLO5I76</t>
  </si>
  <si>
    <t>REFERENTE A 3 CONSULTAS RASTER Nº 7411227 - SOLICITAÇÃO DEBORA - TICKET Nº 196401 - MOT. DANRLEI FERNANDES</t>
  </si>
  <si>
    <t>MATHEUS ELIAQUIM AMARAL</t>
  </si>
  <si>
    <t>RLK8H97</t>
  </si>
  <si>
    <t>REFERENTE A 3 PESQUISAS EXPRESSA COMBO RASTER Nº 7411098 - SOLICITAÇÃO DEBORA - TICKET Nº 196409 - MOT. MATHEUS ELIAQUIM AMARAL</t>
  </si>
  <si>
    <t>REFERENTE A CONSULTA OPENTECH (CONJUNTO/MOT) - SOLICITAÇÃO DEBORA - TICKET Nº 196412 - MOT. ANTONIO MARCOS COLACO</t>
  </si>
  <si>
    <t>4.42</t>
  </si>
  <si>
    <t>REFERENTE A 2 CONSULTAS RASTER Nº 7412373 - SOLICITAÇÃO JOÃO PEDRO - TICKET Nº 196414 - MOT. SAMUEL BRUNO DE SENA SANTOS</t>
  </si>
  <si>
    <t>REFERENTE A CONSULTA OPENTECH (CONJUNTO/MOT) - SOLICITAÇÃO DEBORA - TICKET Nº 196417 - MOT. ERIK GABRIEL DE MOURA JORDAO</t>
  </si>
  <si>
    <t>REFERENTE A CONSULTA SKYMARK Nº 3918221 - SOLICITAÇÃO MATHEUS - TICKET Nº 196421 - MOT. PAULO SERGIO ALVES CUNHA</t>
  </si>
  <si>
    <t>LUCAS GEROLETTI FERNANDES</t>
  </si>
  <si>
    <t>JCR1F92</t>
  </si>
  <si>
    <t>REFERENTE A 3 CONSULTAS RASTER Nº 7413202 - SOLICITAÇÃO ISMAEL - TICKET Nº 196429 - MOT. LUCAS GEROLETTI FERNANDES</t>
  </si>
  <si>
    <t>ANDRE LUIS JORDAO</t>
  </si>
  <si>
    <t>AYT3D73</t>
  </si>
  <si>
    <t>REFERENTE A 3 PESQUISAS EXPRESSAS COMBO RASTER Nº 7412635 - SOLICITAÇÃO DEBORA - TICKET Nº 196430 - MOT. ANDRE LUIS JORDAO</t>
  </si>
  <si>
    <t>REFEREMTE A 3 CONSULTAS RASTER Nº 7413325 - SOLICITAÇÃO DEBORA - TICKET Nº 196431 - MOT. FABRICIO MENDES TIAGO</t>
  </si>
  <si>
    <t>SANTIAGO DE JESUS DE SOUZA</t>
  </si>
  <si>
    <t>QJM2A86</t>
  </si>
  <si>
    <t>REF A UMA RDO DUAS PESQUISAS COMBO EXPRESSA RASTER 7411920 CAVALO QJM2A86 MOT. SANTIAGO DE JESUS DE SOUZA SOLIC. POR DEBORA TICKET 196441 DIA 11/05/2026</t>
  </si>
  <si>
    <t>REF A DUAS CONSULTAS RASTER 7414372 CAVALO QUY4J37 MOT. JEFERSON HENRIQUE DE CARVALHO SOLIC. POR JOÃO PEDRO TICKET 196447 DIA 11/05/2026</t>
  </si>
  <si>
    <t>REF A QUATRO CONSULTAS RASTER 7414309 CAVALO GDP6C12 MOT. ANTONIO ASSIS CARVALHO SOLIC. POR EDVAN TICKET 196448 DIA 11/05/2026</t>
  </si>
  <si>
    <t>FBS8E85</t>
  </si>
  <si>
    <t>REFERENTE A 2 PESQUISAS EXPRESSAS AVULSAS RASTER Nº 7414527 - SOLICITAÇÃO JOÃO PEDRO - TICKET Nº 196451 - MOT. VICTOR WELLINGTON DA SILVA LOPES</t>
  </si>
  <si>
    <t>ROBERTO KOLOGESKI COUTINHO</t>
  </si>
  <si>
    <t>FLT2G09</t>
  </si>
  <si>
    <t>REF A UMA RDO DUAS PESQUISAS COMBO EXPRESSA RASTER 7413794 CAVALO FLT2G09 MOT. ROBERTO KOLOGESKI COUTINHO SOLIC. POR  DEBORA TICKET 196450 DIA 11/05/2026</t>
  </si>
  <si>
    <t>DANIEL JUNIO DE SOUZA</t>
  </si>
  <si>
    <t>NYE9A60</t>
  </si>
  <si>
    <t>REF A TRÊS LIBERAÇÕES SKYMARK 3919126 CAVALO NYE9A60 MOT. DANIEL JUNIO DE SOUZA SOLIC. POR ALESSANDRO TICKET 196456 DIA 11/05/2026</t>
  </si>
  <si>
    <t>SXK4B78</t>
  </si>
  <si>
    <t>REF A TRÊS PESQUISAS COMBO EXPRESSA RASTER 7413994 CAVALO SXK4B78 MOT. VICTOR AUGUSTO BAMBINETTI SOLIC. POR DEBORA TICKET 196452 DIA 11/05/2026</t>
  </si>
  <si>
    <t>REF A TRÊS CONSULTAS RASTER 7415538 CAVALO IMO0073 MOT. MILTON EDUARDO PADILHA SOLIC. POR DEBORA TICKET 196461 DIA 11/05/2026</t>
  </si>
  <si>
    <t>BRUNA MAIA MARINHO DA SILVA</t>
  </si>
  <si>
    <t>FQF6B07</t>
  </si>
  <si>
    <t>REF A UMA RDO UMA CONSULTA RASTER 7413360 CAVALO FQF6B07 MOT. BRUNA MAIA MARINHO DA SILVA SOLIC. POR  SULEEN TICKET 196463 DIA 11/05/2026</t>
  </si>
  <si>
    <t>KRF5I29</t>
  </si>
  <si>
    <t>REFERENTE A 2 CONSULTAS RASTER Nº 7416688 - SOLICITAÇÃO JOÃO PEDRO - TICKET Nº 196471 - MOT. ROBSON ANDREY DE OLIVEIRA SOUZA</t>
  </si>
  <si>
    <t>JOSE SILVANIR DA SILVA</t>
  </si>
  <si>
    <t>GXS1883</t>
  </si>
  <si>
    <t>REF A CINCO LIBERAÇÃOES SKYMARK 3919727 CAVALO GXS1883 MOT. JOSE SILVANIR DA SILVA SOLIC. POR VALNEI  TICKET 196472 DIA 11-05-2026</t>
  </si>
  <si>
    <t>REF A UMA LIBERAÇÃO SKYMARK 3911990 CAVALO EFO9B17 MOT. MIGUEL APARECIDO PEREIRA FILHO SOLIC. POR VITOR HUGO TICKET 196473 DIA 11/05/2026</t>
  </si>
  <si>
    <t>EDINILSON EVALDT DA SILVA</t>
  </si>
  <si>
    <t>OHW3C18</t>
  </si>
  <si>
    <t>REF A UMA RDO DUAS PESQUISAS COMBO EXPRESSA RASTER 7415471 CAVALO OHW3C18 MOT. EDINILSON EVALDT DA SILVA SOLIC. POR DANIEL TICKET 196474 DIA 11-05-2026</t>
  </si>
  <si>
    <t>EVANDRO DE ROSSI</t>
  </si>
  <si>
    <t>LKS3287</t>
  </si>
  <si>
    <t>REF A TRÊS PESQUISAS COMBO EXPRESSA RASTER 7415122 CAVALO LKS3287 MOT. EVANDRO DE ROSSI SOLIC. POR FRANCISCO TICKET 196480 DIA 11-05-2026</t>
  </si>
  <si>
    <t>REF A TRÊS CONSULTAS RASTER 7417712 CAVALO JLO9J74 MOT. NIVALDO FELIPE DE LIRA JUNIOR SOLIC. POR FRANCISCO TICKET 196481 DIA 11/05/2026</t>
  </si>
  <si>
    <t>VANIMAR RODRIGUES DA SILVA</t>
  </si>
  <si>
    <t>CUD6I70</t>
  </si>
  <si>
    <t xml:space="preserve">REFERENTE A 2 PESQUISA EXPRESSA COMBO 1 RDO RASTER Nº 7414235 - SOLICITAÇÃO DEBORA - TICKET Nº 196486 - MOT. VANIMAR RODRIGUES DA SILVA </t>
  </si>
  <si>
    <t>REFERENTE A PESQUISA RDO OPENTECH (CONJUNTO/MOT) - SOLICITAÇÃO DEBORA - TICKET Nº 196486 - MOT. VANIMAR RODRIGUES DA SILVA</t>
  </si>
  <si>
    <t>REFERENTE A CONSULTA SKYMARK Nº 3920625 - SOLICITAÇÃO MATHEUS - TICKET Nº 196494 - MOT. RAFAEL JUNIOR BATISTA</t>
  </si>
  <si>
    <t>REFERENTE A CONSULTA SKYMARK Nº 3920641 - SOLICITAÇÃO ALESSANDRO - TICKET Nº 196495 - MOT. GEILSON APARECIDO FERREIRA</t>
  </si>
  <si>
    <t>JOSE RINALDO PEREIRA DA SILVA</t>
  </si>
  <si>
    <t>EFV3G93</t>
  </si>
  <si>
    <t>REFERENTE A 1 PESQUISA AVULSA NORMAL 1 RDO RASTER Nº 7415627 - SOLICITAÇÃO FABIO - TICKET Nº 196500 - MOT. JOSE RINALDO PEREIRA DA SILVA</t>
  </si>
  <si>
    <t>CELIO FERREIRA GOMES</t>
  </si>
  <si>
    <t>EVU2B47</t>
  </si>
  <si>
    <t xml:space="preserve">REFERENTE A CONSULTA OPENTECH (CONJUNTO/MOT) - SOLICITAÇÃO  DEBORA - TICKET Nº 196511 - MOT. CELIO FERREIRA </t>
  </si>
  <si>
    <t>REFERENTE A CONSULTA OPENTECH (CONJUNTO/MOT) - SOLICITAÇÃO DEBORA - TICKET Nº 196513 - MOT. RODRIGO ANTONIO MAIOCHI</t>
  </si>
  <si>
    <t>RAFAEL PREVIATTI</t>
  </si>
  <si>
    <t>EWU7I90</t>
  </si>
  <si>
    <t>REFERENTE A 3 PESQUISAS EXPRESSAS COMBO RASTER Nº 7425406 - SOLICITAÇÃO DEBORA  - TICKET Nº 196516 - MOT. RAFAEL PREVIATTI</t>
  </si>
  <si>
    <t>REFERENTE A 3 CONSULTAS RASTER Nº 7426578 - SOLICITAÇÃO DEBORA  - TICKET Nº 196518 - MOT. ADEMAR POLLI</t>
  </si>
  <si>
    <t>REFERENTE A 3 CONSULTA RASTER Nº 7427100 - SOLICITAÇÃO EDVAN - TICKET Nº 196524 - MOT. TARCIS ANDRE DA SILVA MOREIRA</t>
  </si>
  <si>
    <t>FERNANDO GONCALVES ALVES</t>
  </si>
  <si>
    <t>CLU5661</t>
  </si>
  <si>
    <t>REFERENTE A 3 PESQUISAS EXPRESSAS RASTER Nº 196526 - SOLICITAÇÃO DEBORA - TICKET Nº 196526 - MOT. FERNANDO GONCALVES ALVES</t>
  </si>
  <si>
    <t>REFERENTE A CONSULTA OPENTECH (CONJUNTO/MOT) - SOLICITAÇÃO DEBORA - TICKET Nº 196532 - MOT. EDEMAR NECKEL</t>
  </si>
  <si>
    <t>REFERENTE A CONSULTA SKYMARK Nº 3921395 - SOLICITAÇÃO ALESSANDRO - TICEKT Nº 196534 - MOT. PEDRO EMANUEL DAMASCENO GOMES SILVA</t>
  </si>
  <si>
    <t>MKX5B35</t>
  </si>
  <si>
    <t>REFERENTE A 3 PESQUISAS EXPRESSAS RASTER Nº 7427885 - SOLICITAÇÃO DEBORA - TICKET Nº 196545 - MOT. GUSTAVO MIELCZARSKI DE ABREU</t>
  </si>
  <si>
    <t>REF A UMA RDO UMA PESQUISA OPENTECH CAVALO MLP7G40 MOT. PAULO DE LIMA E SILVA SOLIC. POR  DEBORA TICKET 196546 DIA 12/05/2026</t>
  </si>
  <si>
    <t>GILBERTO RODRIGUES LEANDRO</t>
  </si>
  <si>
    <t>SJH9H00</t>
  </si>
  <si>
    <t>REF A DUAS LIBERAÇÃOES SKYMARK 3922117 CAVALO SJH9H00 MOT. GILBERTO RODRIGUES LEANDRO SOLIC. POR  JEAN TICKET 196553 DIA 12/05/2026</t>
  </si>
  <si>
    <t>ARMANDO MOGNON</t>
  </si>
  <si>
    <t>IPS4F70</t>
  </si>
  <si>
    <t xml:space="preserve">REFERENTE A 2 PESQUISA EXPRESSA 1 NORMAL COMBO RASTER Nº 7428686 - SOLICITAÇÃO DEBORA - TICKET Nº 196559 - MOT. ARMANDO MOGNON </t>
  </si>
  <si>
    <t>INY1C89</t>
  </si>
  <si>
    <t>REFERENTE A 1 PESQUISA EXPRESSA E 1 CONSULTA RASTER Nº 7429181 - SOLICITAÇÃO DEBORA - TICKET Nº 196560 - MOT. ANDERSON RITTER RICKROT</t>
  </si>
  <si>
    <t>EDUARDO MATEUS JOSE BICALHO</t>
  </si>
  <si>
    <t>PVC8500</t>
  </si>
  <si>
    <t>REFERENTE A CONSULTA SKYMARK Nº 3922587 - SOLICITAÇÃO VALNEI - TICKET Nº 196564 - MOT. EDUARDO MATEUS JOSE BICALHO</t>
  </si>
  <si>
    <t>GUX0257</t>
  </si>
  <si>
    <t>REFERENTE A 3 PESQUISAS NORMAL AVULSA RASTER Nº 7365225 - SOLICITAÇÃO TIAGO - TICKET Nº 196577 - MOT. ROBERTO VIRGOLINO DE FARIAS</t>
  </si>
  <si>
    <t>REFERENTE A CONSULTA SKYMARK Nº 3923613 - SOLICITAÇÃO MATHEUS - TICKET Nº 196584 - MOT. ROMILSON DELFINO DE OLIVEIRA</t>
  </si>
  <si>
    <t>REFERENTE A CONSULTA OPENTECH (CONJUNTO/MOT) - SOLICITAÇÃO DEBORA - TICKET Nº 196586 - MOT. FABIO EDUARDO ROSSI</t>
  </si>
  <si>
    <t>REFERENTE A CONSULTA OPENTECH (CONJUNTO/MOT) - SOLICITAÇÃO DEBORA - TICKET Nº 196589 - MOT. DOUGLAS FELIPE DA SILVA VELOSO</t>
  </si>
  <si>
    <t>REFERENTE A 3 CONSULTAS RASTER Nº 7433884 - SOLICITAÇÃO DEBORA - TICKET Nº 196604 - MOT. CREMILSON LUIS RANGHETI</t>
  </si>
  <si>
    <t>REFERENTE A CONSULTA OPENTECH (CONJUNTO/MOT) - SOLICITAÇÃO DEBORA - TICKET Nº 196606 - MOT. MARCELO SANTOS GERMANO</t>
  </si>
  <si>
    <t>REFERENTE A 3 CONSULTA RASTER Nº 7434041 - SOLICITAÇÃO DEBORA - TICKET Nº 196611 - MOT. JEFERSON ANTUNES DE OLIVEIRA</t>
  </si>
  <si>
    <t>REFERENTE A 3 CONSULTAS RASTER Nº 7434087 - SOOLICITAÇÃO DEBORA - TICKET Nº 196612 - MOT. NELSON LUIZ RODRIGUES ACUNHA</t>
  </si>
  <si>
    <t>REFERENTE A PESQUISA SKYMARK Nº 3923764 - SOLICITAÇÃO ALESSANDRO - TICKET Nº 196620 - MOT. WALISSON FERNANDES DE SA</t>
  </si>
  <si>
    <t>REFERENTE A CONSULTA OPENTECH (CONJUNTO/MOT) - SOLICITAÇÃO DEBORA - TICKET Nº 196622 - MOT. RODRIGO ANTONIO MAIOCHI</t>
  </si>
  <si>
    <t>REFERENTE A CONSULTA OPENTECH (CONJUNTO/MOT) - SOLICITAÇÃO DEBORA - TICKET Nº 196623 - MOT MANOEL RODRIGUES DA SILVA</t>
  </si>
  <si>
    <t>REFERENTE A CONSULTA OPENTECH (CONJUNTO/MOT) - SOLICITAÇÃO DEBORA - TICKET Nº 196624 - MOT. ANTONIO MARCOS COLACO</t>
  </si>
  <si>
    <t>REFERENTE A 3 PESQUISAS EXPRESSAS COMBO RASTER Nº 7434144 - SOLICITAÇÃO DEBORA - TICKET Nº 196626 - MOT. MAICO STOCK</t>
  </si>
  <si>
    <t>LEANDRO TEMOZ</t>
  </si>
  <si>
    <t>QJE0I91</t>
  </si>
  <si>
    <t>REFERENTE A 3 CONSULTAS RASTER Nº 7434430 - SOLICITAÇÃO EDVAN - TICKET Nº 196627 - MOT. LEANDRO TEMOZ</t>
  </si>
  <si>
    <t>REFERENTE A 2 COSULTAS RASTER Nº 7435188 - SOLICITAÇÃOP JOÃO PEDRO - TICKET Nº 196634 - MOT. ELVIS DA SILVA SOARES</t>
  </si>
  <si>
    <t>DAVI APARECIDO MONTEIRO</t>
  </si>
  <si>
    <t>SXJ0A06</t>
  </si>
  <si>
    <t>REFERENTE A PESQUISA OPENTECH (CONJUNTO/MOT) - SOLICITAÇÃO DEBORA - TICKET Nº 196640 - MOT. DAVI APARECIDO MONTEIRO</t>
  </si>
  <si>
    <t>EGON KLITZKE JUNIOR</t>
  </si>
  <si>
    <t>RYG2A30</t>
  </si>
  <si>
    <t>REF A TRÊS CONSULTAS RASTER 7436196 CAVALO RYG2A30 MOT. EGON KLITZKE JUNIOR SOLIC. POR DEBORA TICKET 196650 DIA 13/05/2026</t>
  </si>
  <si>
    <t>REF A TRÊS PESQUISAS COMBO EXPRESSA RASTER 7435327 CAVALO DHE7F65 MOT. ANDERSON LEANDRO RAPHAELLI SOLIC. POR DEBORA TICKET 196651 DIA 13/05/2026</t>
  </si>
  <si>
    <t>ALCI LACERDA FERREIRA</t>
  </si>
  <si>
    <t>MTA2C84</t>
  </si>
  <si>
    <t>REF A TRÊS PESQUISAS COMBO EXPRESSA RASTER  CAVALO MTA2C84 MOT. ALCI LACERDA FERREIRA SOLIC. POR TIAGO TICKET 196653 DIA 13/05/2026</t>
  </si>
  <si>
    <t>REFERENTE A CONSULTA SKYMARK Nº 3925196 - SOLICITAÇÃO MATHEUS - TICKET Nº 196657 - MOT. PAULO SERGIO ALVES CUNHA</t>
  </si>
  <si>
    <t>REFERENTE A 2 CONSULTAS RASTER Nº 7437186 - SOLICITAÇÃO JOÃO PEDRO - TICKET Nº 196662 - MOT. BRUNA MAIA MARINHO DA SILVA</t>
  </si>
  <si>
    <t xml:space="preserve">REF A UMA LIBERAÇÃO SKYMARK CAVALO EFO9B17 MOT. MIGUEL APARECIDO PEREIRA FILHO SOLIC. POR VITOR HUGO TICKET 196680 DIA 13/05/2026 </t>
  </si>
  <si>
    <t>REF A DUAS CONSULTAS RASTER 7440011 CAVALO CUD6G16 MOT. PAULO HENRIQUE COUTINHO DA SILVA SOLIC. POR RAFAEL TICKET 196682 DIA 13/05/2026</t>
  </si>
  <si>
    <t>REF A TRÊS CONSULTAS RASTER 7440154 CAVALO GYN9J31 MOT. MARCOS ANTONIO PEREIRA LANA SOLIC. POR FRANCISCO TICKET 196683 DIA 13/05/2026</t>
  </si>
  <si>
    <t>REF A DUAS CONSULTAS RASTER 7438782 CAVALO MQZ8A29 MOT. FABIANO FERREIRA SOARES SOLIC. POR FRANCISCO TICKET 196684 DIA 13/05/2026</t>
  </si>
  <si>
    <t>CELSO MELLO RIOS</t>
  </si>
  <si>
    <t>IAF2579</t>
  </si>
  <si>
    <t>REF A DUAS PESQUISAS COMBO EXPRESSA RASTER 7439577 CAVALO IAF2579 MOT. CELSO MELLO RIOS SOLIC. POR FRANCISCO TICKET 196685 DIA 13/05/2026</t>
  </si>
  <si>
    <t>REFERENTE A PESQUISA SKYMARK Nº 3926887 (CONJUNTO/MOT) - SOLICITAÇÃO  ALESSANDRO - TICKET Nº 196693 - MOT. BRUNO ARCANJO MARTINS</t>
  </si>
  <si>
    <t>REFERENTE A 3 CONSULTAS RASTER Nº 7445095 - SOLICITAÇÃO DEBORA - TICKET Nº 196694 - MOT. GABRIEL DA SILVA REIS</t>
  </si>
  <si>
    <t>SELIO FRANCISCO ALVES</t>
  </si>
  <si>
    <t>REFERENTE A CONSULTA SKYMARK Nº 3926763 - SOLICITAÇÃO MATHEUS - TICKET Nº 196697 - MOT. SELIO FRANCISCO ALVES</t>
  </si>
  <si>
    <t>REFERENTE A 3 PESQUSAS EXPRESSAS RASTER Nº 7445102 - SOLICITAÇÃO GABRIEL - TICKET Nº 196702 - MOT. DANIEL LUCAS COSTA</t>
  </si>
  <si>
    <t>REFERENTE A CONSULTA OPENTECH (CONJUNTO/MOT) - SOLICITAÇÃO DEBORA - TICKET Nº  196705 - MOT. LEANDRO DO NASCIMENTO 32316953840</t>
  </si>
  <si>
    <t>REFERENTE A 2 PESQUISAS EXPRESSA 1 PESQUISA NORMAL COMBO RASTER Nº 7444838 - SOLICITAÇÃO DEBORA - TICKET Nº 196706 - MOT. LUCAS MAYCON JORDAO</t>
  </si>
  <si>
    <t>FABIO ALEXANDRE FINCO</t>
  </si>
  <si>
    <t>MGA0G57</t>
  </si>
  <si>
    <t>REFERENTE A 3 PESQUISAS EXPRESSAS RASTER Nº 7446271 - SOLICITAÇÃO THIAGO - TICKET Nº 196721 - MOT. FABIO ALEXANDRE FINCO</t>
  </si>
  <si>
    <t>GENILSON RODRIGUES DE OLIVEIRA</t>
  </si>
  <si>
    <t>LQV2311</t>
  </si>
  <si>
    <t>REF A DUAS PESQUISAS COMBO EXPRESSA RASTER LQV2311 CAVALO LQV2311 MOT. GENILSON RODRIGUES DE OLIVEIRA SOLIC. POR  TIAGO TICKET 196722 DIA 14/05/2026</t>
  </si>
  <si>
    <t>LEANDRO JOSE DORIGATTI</t>
  </si>
  <si>
    <t>DSM1B15</t>
  </si>
  <si>
    <t>REF A UMA RDO DUAS PESQQUISAS COMBO RASTER 7445994 CAVALO DSM1B15 MOT. LEANDRO JOSE DORIGATTI SOLIC. POR DEBORA TICKET 196724 DIA 14/05/2026</t>
  </si>
  <si>
    <t>SXL9H56</t>
  </si>
  <si>
    <t>REF. A TRÊS PESQUISAS COMBO EXPRESSA RASTER 7447491 CAVALO SXL9H56 MOT. ADELFON DA SILVA SOLIC. POR DEBORA TICKET 196727 DIA 14/05/2026</t>
  </si>
  <si>
    <t>REF A UMA LIBERAÇÃO SKYMARK 3927978 CAVALO PZX3953 MOT. JULIO CESAR DE MELO SOLIC. POR JEAN TICKET 196728 DIA 14/05/2026</t>
  </si>
  <si>
    <t>REFA A UMA LIBERAÇÃO SKYMARK 3927122 CAVALO TCM8F65 MOT. WENDELL PEREIRA DO CARMO SOLIC POR MATHEUS TICKET 196729 DIA 14/05/2026</t>
  </si>
  <si>
    <t>EDSON MATHEUS PEREIRA PECHIM DE MOURA</t>
  </si>
  <si>
    <t>KWD3H12</t>
  </si>
  <si>
    <t>REFERENTE A 2 CONSULTAS RASTER Nº 7449226 - SOLICITAÇÃO SUELEN - TICKET Nº 196741 - MOT. EDSON MATHEUS PEREIRA PECHIM DE MOURA</t>
  </si>
  <si>
    <t>REF A TRES PESQUISA COMBO NORMAL RASTER 7450302 CAVALO QJH1E91 MOT. LEOMAR RAUPP CARDOSO SOLI. POR GABRIEL TICET 196752 DIA 14/05/2026</t>
  </si>
  <si>
    <t>QQU1799</t>
  </si>
  <si>
    <t>REF A UMA LIBERAÇÃO SKYMARK 3929063 CAVALO QQU1799 MOT. ROMILSON DELFINO DE OLIVEIRA SOLIC. POR VITOR HUGO TICKET 196754 DIA 14/05/2026</t>
  </si>
  <si>
    <t>ADRIANO PEREIRA DA CUNHA</t>
  </si>
  <si>
    <t>LNP2G01</t>
  </si>
  <si>
    <t>REF A  UMA RDO DUAS PESQUISAS COMBO NORMAL RASTER 7449213 CAVALO LNP2G01 MOT. ADRIANO PEREIRA DA CUNHA SOLIC. POR ERICK TICKET 196757 DIA 14/05/2026</t>
  </si>
  <si>
    <t>FABIO VIEIRA DO NASCIMENTO</t>
  </si>
  <si>
    <t>BWQ6322</t>
  </si>
  <si>
    <t>REF A TRÊS PESQUISAS COMBO EXPRESSA RASTER 7447914 CAVALO BWQ6322 MOT. FABIO VIEIRA DO NASCIMENTO SOLIC. POR FRANCISCO TICKET 196759 DIA 14/05/2026</t>
  </si>
  <si>
    <t>REFERENTE A CONSULTA OPENTECH (CONJUNTO/MOT) - SOLICITAÇÃO AYSLAN - TICKET Nº 196764 - MOT. IGOR APARECIDO FIALHO</t>
  </si>
  <si>
    <t>REFERENTE A CONSULTA SKYMARK Nº 3929562 - SOLICITAÇÃO ALESSANDRO - TICKET Nº 196765 - MOT. TIAGO JUNIO DIAS ANDRADE</t>
  </si>
  <si>
    <t>REFERENTE A CONSULTA SKYMARK Nº 3929557 - SOLICITAÇÃO ALESSANDRO - TICKET Nº 196766 - MOT. RAFAEL VITOR FERNANDES</t>
  </si>
  <si>
    <t>REFERENTE A CONSULTA SKYMARK Nº 3929595 - SOLICITAÇÃO DENILSON - TICKET Nº 196767 - MOT. RAFAEL JUNIOR BATISTA</t>
  </si>
  <si>
    <t>FRANCISCO DAS CHAGAS COSTA DA SILVA</t>
  </si>
  <si>
    <t>ORX0506</t>
  </si>
  <si>
    <t>REFERENTE A 2 CONSULTAS RASTER Nº 7454619 - SOLICITAÇÃO JOÃO PEDRO - TICKET Nº 196770 - MOT. FRANCISCO DAS CHAGAS COSTA DA SILVA</t>
  </si>
  <si>
    <t>MATHEUS DUTRA DELLA TORRE COSTA</t>
  </si>
  <si>
    <t>DRO2D64</t>
  </si>
  <si>
    <t>REFERENTE A 1 PESQUISA NORMAL 1 RDO RASTER Nº 7436128 - SOLICITAÇÃO THALIA - TICKET Nº 196771 - MOT. MATHEUS DUTRA DELLA TORRE COSTA</t>
  </si>
  <si>
    <t>DOUGLAS TADEU WRASSE</t>
  </si>
  <si>
    <t>JCM8I25</t>
  </si>
  <si>
    <t>REFERENTE A CONSULTA SKYMARK Nº 3929963 - SOLICITAÇÃO MATHEUS - TICKET Nº 196782 - MOT. DOUGLAS TADEU WRASSE</t>
  </si>
  <si>
    <t>DINEY ALVES DA COSTA</t>
  </si>
  <si>
    <t>QKJ0D68</t>
  </si>
  <si>
    <t>REFERENTE A PESQUISA SKYMARK Nº 3930080 - SOLICITAÇÃO ALESSANDRO - TICKET Nº 196784 - MOT. DINEY ALVES DA COSTA</t>
  </si>
  <si>
    <t>REFERENTE A 2 CONSULTAS RASTER Nº 7455876 - SOLICITAÇÃO VALMIR - TICKET Nº 196785 - MOT. LEANDRO MUNHOZ BALLERO</t>
  </si>
  <si>
    <t>REFERENTE A CONSULTA SKYMARK Nº 3930474 - SOLICITAÇÃO ALESSANDRO - TICKET Nº 196794 - MOT. CLEBIO HENRIQUE DA SILVA</t>
  </si>
  <si>
    <t>REFERENTE A CONSULTA SKYMARK Nº 3930542 - SOLICITAÇÃO MATHEUS - TICKET Nº 196795 - MOT. PAULO SERGIO ALVES CUNHA</t>
  </si>
  <si>
    <t>FLAVIO VICENTE GODE</t>
  </si>
  <si>
    <t>GVH5H64</t>
  </si>
  <si>
    <t>REF. A DUAS CONSULTAS RASTER 7451481 - CAVALO GVH5H64 - MOT. FLAVIO VICENTE GODE - SOLIC. POR Francisco Silviano da Silva - TICKET 196800 - DIA 15-05-2026</t>
  </si>
  <si>
    <t>REF A UMA LIBERAÇÃO SKYMARK 3930910 CAVALO IZX7I52 MOT. MARCIO VIDAL COELHO SOLIC. POR MATHEUS TICKET 196806 DIA 15/05/2026</t>
  </si>
  <si>
    <t>REFERENTE A 3 CONSULTAS RASTER Nº 7458900 - SOLICITAÇÃO MARCELO - TICKET Nº 196816 - MOT. FERNANDO SANTOS OLIVEIRA</t>
  </si>
  <si>
    <t>CLEBER RODOLFO DA SILVA</t>
  </si>
  <si>
    <t>HKD2B00</t>
  </si>
  <si>
    <t>REF. A UMA RDO DUAS PESQUISAS COMBO NORMAL RASTER 7457752 CAVALO HKD2B00 MOT. CLEBER RODOLFO DA SILVA SOLIC. POR ERICK TICKET  196818 DIA 15/05/2026</t>
  </si>
  <si>
    <t>MARCOS JUNIO DE FREITAS LAGE</t>
  </si>
  <si>
    <t>REF. A SETE PESQUISAS  SKYMARK 3931415 CAVALO MOT. MARCOS JUNIO DE FREITAS LAGE SOLIC. POR ALESSANDRO TICKET 196823 DIA 15/05/2026</t>
  </si>
  <si>
    <t>MARCOS RICARDO GONÇALVES</t>
  </si>
  <si>
    <t>PWA3A95</t>
  </si>
  <si>
    <t xml:space="preserve">REFERENTE A PÉSQUISA SKYMARK Nº 3931406 - SOLICITAÇÃO ALESSANDRO - TICKET Nº 196822 - MOT. MARCOS RICARDO GONÇALVES </t>
  </si>
  <si>
    <t>REF A UMA LIBERAÇÃO AUTONOMA SKYMARK 3931761 CAVALO PPG9G24 MOT. MICHAEL CAMPOS DE SOUSA SOLIC. POR ROBERTA TICKET 196826 DIA 15/05/2026</t>
  </si>
  <si>
    <t>REF A CINCO LIBERAÇÃOES SKYMAR 3931855 CAVALO OWV8H94 MOT. ROBERSON ALVES DA CRUZ SOLIC. POR ROBERTA TICKET 196827 DIA 15/05/2026</t>
  </si>
  <si>
    <t>REF A TRES PESQUISA COMBO NORMAL RASTER 7459334 CAVALO MNU1J66 MOT. RONALDO GALVONE DE SALLES SOLIC. POR DANIEL TICKET 196829 DIA 16/05/2026</t>
  </si>
  <si>
    <t>ALEXANDRO DE SOUTO</t>
  </si>
  <si>
    <t>LOL3J71</t>
  </si>
  <si>
    <t>REF A UMA RDO DUAS PESQUISAS COMBO NORMAL RASTER 7457959 CAVALO LOL3J71 MOT. ALEXANDRO DE SOUTO SOLIC POR ERICK TICKET 196832 DIA 16/05/2026</t>
  </si>
  <si>
    <t>ALEXSANDRO DOS SANTOS FONSECA</t>
  </si>
  <si>
    <t>JQE8247</t>
  </si>
  <si>
    <t>REF A TRES PESQUISAS COMBO NORMAL RASTER 7460563 CAVALO JQE8247 MOT. ALEXSANDRO DOS SANTOS FONSECA SOLIC. POR UELDER TICKET 196837 DIA 16/05/2026</t>
  </si>
  <si>
    <t>RONALDO JOSE ROCHA</t>
  </si>
  <si>
    <t>TEP5E58</t>
  </si>
  <si>
    <t>REF. A CINCO LIBERAÇÃOES SKYMARK  3932767 CAVALO TEP5E58 MOT.  RONALDO JOSE ROCHA SOLIC. POR VALNEI TICKET 196839 DIA 16/05/2026</t>
  </si>
  <si>
    <t>ROBSON SILVEIRA ROCHA</t>
  </si>
  <si>
    <t>PGD6F78</t>
  </si>
  <si>
    <t>REF A DUAS PESQUISAS AVULSA EXPRESSA RASTER 7467231 CAVALO PGD6F78 MOT. ROBSON SILVEIRA ROCHA SOLI. POR JOÃO PEDRO TICKET 196849 DIA 17/05/2026</t>
  </si>
  <si>
    <t>EDNILSON GENERATO MARTINS</t>
  </si>
  <si>
    <t>REF. A UMA PESQUISA NORMAL EXPRESSA UMA CONSULTA RASTER 7467514 CAVALO FMD3I95 MOT. EDNILSON GENERATO MARTINS SOLIC. POR JOÃO PEDRO TICKET 196852 DIA 17/05/2026</t>
  </si>
  <si>
    <t>REFERENTE A CONSULTA OPENTECH (CONJUNTO/MOT) - SOLICITAÇÃO DEBORA - TICKET Nº 196857 - MOT. VANIMAR RODRIGUES DA SILVA</t>
  </si>
  <si>
    <t>REFERENTE A CONSULTA OPENTECH (CONJUNTO/MOT) - SOLICITAÇÃO DEBORA - TICKET Nº 196864 - MOT. MARCELO SANTOS GERMANO</t>
  </si>
  <si>
    <t>REFERENTE A CONSULTA OPENTECH (CONJUNTO/MOT) - SOLICITAÇÃO DEBORA - TICKET Nº 196868 - MOT. MARCOS ROBERTO BILATTO</t>
  </si>
  <si>
    <t>REFERENTE A 4 PESQUISAS EXPRESSA COMBO RASTER Nº 7469955  (CONJUNTO/MOT) - SOLICITAÇÃO DEBORA - TICKET Nº 196868 - MOT. MARCOS ROBERTO BILATTO</t>
  </si>
  <si>
    <t>REFERENTE A CONSULTA SKYMARK Nº 3933968 - SOLICITAÇÃO ALESSANDRO - TICKET Nº  196870 - MOT. RONALDO ADRIANO ROSA</t>
  </si>
  <si>
    <t>REFERENTE A 3 CONSULTAS RASTER Nº 7471037 - SOLICITAÇÃO ISMAEL - TICKET Nº 196872 - MOT. WILLIAM BARBOSA DE OLIVEIRA-02958940080</t>
  </si>
  <si>
    <t>MARCOS MARCELO FRIEDRICH</t>
  </si>
  <si>
    <t>MJH9928</t>
  </si>
  <si>
    <t>REFERENTE A CONSULTA SKYMARK Nº 3934228 - SOLICITAÇÃO JEAN - TICKET Nº 196876 - MOT. MARCOS MARCELO FRIEDRICH</t>
  </si>
  <si>
    <t>JEREMIAS COSTA OLIVEIRA</t>
  </si>
  <si>
    <t>QWY6H05</t>
  </si>
  <si>
    <t>REFERENTE A PESQUISA SKYMARK Nº 3934236 - SOLICITAÇÃO ALESSANDRO - TICKET Nº 196877 - MOT. JEREMIAS COSTA OLIVEIRA</t>
  </si>
  <si>
    <t>REF. A TRÊS CONSULTAS RASTER 7472146 - CAVALO JCO8I90 - MOT. MAURICIO MACHADO DA SILVEIRA - SOLIC. POR Debora Morgado - TICKET 196882 - DIA 18-05-26</t>
  </si>
  <si>
    <t>REF. A DUAS CONSULTAS RASTER 7472458 - CAVALO TEB2C75 - MOT. BENIVALDO PEREIRA MONTEIRO - SOLIC. POR Gustavo Pereira Magalhães - TICKET 196885 - DIA 18-05-26</t>
  </si>
  <si>
    <t>REFERENTE A 3 CONSULTAS E 1 PESQUISA EXPRESSA RASTER Nº 7469603 - SOLICITAÇÃO DEBORA - TICKTE Nº  196886 - MOT. PAULO CEZAR HOFFMANN BOBSIN</t>
  </si>
  <si>
    <t>JOSUE DA SILVA</t>
  </si>
  <si>
    <t>JCG0G61</t>
  </si>
  <si>
    <t>REFERENTE A 3 PESQUISAS EXPRESSAS RASTER Nº 7472109  - SOLICITAÇÃO DEBORA - TICKET Nº 196887 - MOT. JOSUE DA SILVA</t>
  </si>
  <si>
    <t>ADAILTON FORMIGONI RAMOS</t>
  </si>
  <si>
    <t>KMR8C19</t>
  </si>
  <si>
    <t>REFERENTE A 2 PESQUISAS EXPRESSAS 1 RDO RASTER Nº 7471023 - SOLICITAÇÃO DEBORA - TICKET Nº 196891 - MOT. ADAILTON FORMIGONI RAMOS</t>
  </si>
  <si>
    <t>ANDRE DADA DA SILVA</t>
  </si>
  <si>
    <t>TRG6I78</t>
  </si>
  <si>
    <t>REF. A TRÊS ITENS PESQ. COMBO EXPRESSA RASTER 7472863 - CAVALO TRG6I78 - MOT. ANDRE DADA DA SILVA - SOLIC. POR Debora Morgado - TICKET 196896 - DIA 18-05-26</t>
  </si>
  <si>
    <t>REF. ALIB. SKYMARK 3935118 - CAVALO GMX6I16 - MOT. PAULO SERGIO ALVES CUNHA - SOLIC. POR MATHEUS DE SOUSA TROTTA - TICKET 196899 - DIA 18-05-26</t>
  </si>
  <si>
    <t>REF. A TRÊS CONSULTAS RASTER 7473486 - CAVALO QJH1E91 - MOT. LEOMAR RAUPP CARDOSO - SOLIC. POR Debora Morgado - TICKET 196900 - DIA 18-05-26</t>
  </si>
  <si>
    <t>REFERENTE A 3 CONSULTAS RASTER Nº 7473690 - SOLICITAÇÃO DEBORA  - TICKET Nº 196902 - MOT. PAULO JUNIOR RODRIGUES BLEHM</t>
  </si>
  <si>
    <t>AMARILDO TRAPP</t>
  </si>
  <si>
    <t>SXF2B86</t>
  </si>
  <si>
    <t>REFERENTE A 3 PESQUISAS EXPRESSAS RASTER Nº 7473423 - SOLICITAÇÃO DEBORA - TICKET Nº 196905 - MOT. AMARILDO TRAPP</t>
  </si>
  <si>
    <t>REFERENTE A 3 CONSULTAS RASTER Nº  7474211 - SOLICITAÇÃO ISMAEL - TICKET Nº 196915 - MOT. RODRIGO NUNES DA ROCHA</t>
  </si>
  <si>
    <t>ROGERIO SANTOS DA SILVA</t>
  </si>
  <si>
    <t>ECM3541</t>
  </si>
  <si>
    <t>REFERENTE A 3 PESQUISAS EXPRESSAS RASTER Nº 7473481 - SOLICITAÇÃO  FABIANA - TICKET Nº 196911 - MOT. ROGERIO SANTOS DA SILVA</t>
  </si>
  <si>
    <t>REFERENTE A CONSULTA SKYMARK Nº 3935338 - SOLICITAÇÃO THAIS - TICKET Nº 196914 - MOT. MIGUEL APARECIDO PEREIRA FILHO</t>
  </si>
  <si>
    <t>REF. A TRÊS CONSULTAS RASTER 7471162 -  CAVALO PVX5G61 - MOT. EDINALDO DA SILVA CARNEIRO - SOLIC. POR  Uelder Amorim Trabuco - TICKET 196920 - DIA 18-05-26</t>
  </si>
  <si>
    <t>ANTONIO JOSE DE OLIVEIRA</t>
  </si>
  <si>
    <t>BUP2E95</t>
  </si>
  <si>
    <t>REF. A DOIS ITENS PESQ. COMBO EXPRESSO RASTER 7471423 - CAVALO BUP2E95 - MOT. ANTONIO JOSE DE OLIVEIRA - SOLIC. POR Thalia Vitória Alves dos Santos - TICKET 196918 - DIA 18-05-26</t>
  </si>
  <si>
    <t>ANDERSON JULIANO DIAS</t>
  </si>
  <si>
    <t>BAH3A42</t>
  </si>
  <si>
    <t>REFERENTE A 2 PESQUISAS EXPRESSAS RASTER Nº 7473238 - SOLICITAÇÃO DEBORA - TICKET Nº 196919 - MOT. ANDERSON JULIANO DIAS</t>
  </si>
  <si>
    <t>FILIPE MONTEIRO LUCIANO</t>
  </si>
  <si>
    <t>PRM9E60</t>
  </si>
  <si>
    <t>REFERENTE A 2 PESQUISAS EXPRESSAS RASTER Nº 7474365 - SOLICITAÇÃO DEBORA - TICKET Nº 196930 - MOT. FILIPE MONTEIRO LUCIANO</t>
  </si>
  <si>
    <t>SAMUEL DA ROSA DA SILVA</t>
  </si>
  <si>
    <t>JAU7J78</t>
  </si>
  <si>
    <t>REF A  UMA RDO DUAS PESQUISAS AVULSAS NORMAL RASTER 7476324 CAVALO JAU7J78 MOT. SAMUEL DA ROSA DA SILVA SOLIC. POR  GABRIEL TICKET 196938 DIA  18/05/2026</t>
  </si>
  <si>
    <t>REFERENTE A 2 CONSULTAS RASTER Nº 7480129 - SOLICITAÇÃO FABIANA - TICKET Nº 196940 - MOT. HUGO DE OLIVEIRA SANTOS</t>
  </si>
  <si>
    <t>REFERENTE A 2 CONSULTAS RASTER Nº 7480373 - SOLICITAÇÃO FABIANA - TICKET Nº 196941 - MOT. ALEX FERREIRA DE ASSIS</t>
  </si>
  <si>
    <t>ANTONIO APARECIDO KELLI</t>
  </si>
  <si>
    <t>DAH4I75</t>
  </si>
  <si>
    <t>REFERENTE A CONSULTA OPENTECH (COJUNTO/MOT) - SOLICITAÇÃO DEBORA - TICKET Nº 196944 - MOT. ANTONIO APARECIDO KELLI</t>
  </si>
  <si>
    <t>REFERENTE A CONSULTA SKYMARK Nº 3936740 - SOLICITAÇÃO DENILSON - TICKET Nº 196949 - MOT. RAFAEL JUNIOR BATISTA TYN6J59</t>
  </si>
  <si>
    <t>PEDRO HENRIQUE NOLASCO DE ANDRADE</t>
  </si>
  <si>
    <t>REFERENTE A PESQUISA SKYMARK Nº 3936109 - SOLICITAÇÃO ALESSANDRO - TICKET Nº 196950 - MOT. PEDRO HENRIQUE NOLASCO DE ANDRADE</t>
  </si>
  <si>
    <t>REFERENTE A PESQUISA SKYMARK Nº 3936739 - SOLICITAÇÃO ALESSANDRO - TICKET Nº 196953 - MOT. LUIS FILIPE ANDRADE ALVES</t>
  </si>
  <si>
    <t>ANGELO FERNANDO MIRANDA</t>
  </si>
  <si>
    <t>ESU1F31</t>
  </si>
  <si>
    <t>REFERENTE A 3 PESQUISAS EXPRESSA COMBOM RASTER Nº 7480553 - SOLICITAÇÃO DEBORA - TICKET Nº 196960 - MOT, ANGELO FERNANDO MIRANDA</t>
  </si>
  <si>
    <t>REFERENTE A 2 CONSULTAS RASTER Nº 7481913 - SOLICITAÇÃO JOÃO PEDRO - TICKET Nº 196964 - MOT. JEFERSON HENRIQUE DE CARVALHO</t>
  </si>
  <si>
    <t>REFERENTE A 2 CONSULTAS RASTER Nº 7482066 - SOLICITAÇÃO JOÃO PEDRO - TICKET Nº 196968 - MOT. EDNILSON GENERATO MARTINS</t>
  </si>
  <si>
    <t>08.02</t>
  </si>
  <si>
    <t>REFERENTE A PESQUISA SKYMARK Nº 3936902 - SOLICITAÇÃO AMANDA - TICKET Nº 196974- MOT. RONALDO MOREIRA DUARTE</t>
  </si>
  <si>
    <t>REFERENTE A CONSULTA OPENTECH (CONJUNTO/MOT) - SOLICITAÇÃO DEBORA - TICKET Nº 196976 - MOT.ALBERT LUIZ MOGNON</t>
  </si>
  <si>
    <t>LUAN CARLOS MORAIS</t>
  </si>
  <si>
    <t>FWW8D67</t>
  </si>
  <si>
    <t>REFERENTE A 3 CONSULTAS RASTER Nº 7482490 - SOLICITAÇÃO GABRIEL - TICKET Nº 196978 - MOT. LUAN CARLOS MORAIS</t>
  </si>
  <si>
    <t>REFERENTE A CONSULTA SKYMARK Nº 3936979 - SOLICITAÇÃO VALNEI - TICKET Nº 196979 - MOT. NEIMAR SILVA DO CARMO</t>
  </si>
  <si>
    <t>REFERENTE A CONSULTA SKYMARK Nº 3937563 - SOLICITAÇÃO VALNEI - TICKET Nº 196980 - MOT. WEMERSON GUSTAVO MATOZO</t>
  </si>
  <si>
    <t>REF A UMA RDO UMA PESQUISA  CONJUNTO OPENTECH CAVALO TPI1G03 MOT. JULIO CESAR THEISS SOLIC. POR DEBORA TICKET 196997 DIA 19/05/2026</t>
  </si>
  <si>
    <t>REF A UMA RDO UM APESQUISA OPENTECH CAVALO AJO1022 MOT. IGOR APARECIDO FIALHO SOLIC. POR DEBORA TICKET 197003 DIA 19/05/2026</t>
  </si>
  <si>
    <t>REFERENTE A CONSULTA OPENTECH (CONJUNTO/MOT) - SOLICITAÇÃO DEBORA - TICKET Nº 197009 - MOT. ANTONIO MARCOS COLACO</t>
  </si>
  <si>
    <t>REF A UMA LIBERAÇÃO SKYMARK 3938520 CAVALO GMX6I16 MOT. PAULO SERGIO ALVES CUNHA SOLIC POR MATHEUS TICKET 197017 DIA 19/05/2026</t>
  </si>
  <si>
    <t>REF A UMA LIBERAÇÃO SKYMARK 393812 CAVALO CPR2574 MOT. EDEMILSON EDSON GARCIA SOLIC. POR THAIS TICKET 197019 DIA 19/05/2026</t>
  </si>
  <si>
    <t>LUIZ ANTONIO DE ANDRADE</t>
  </si>
  <si>
    <t>REF. A UMA LIBERAÇÃO AUTONOMA SKYMARK 3939022 CAVALO JCM8I25 MOT. LUIZ ANTONIO DE ANDRADE SOLIC. POR JEAN TICKET  197032 DIA 19/05/2026</t>
  </si>
  <si>
    <t>MARCOS GAIGHER GONÇALVES</t>
  </si>
  <si>
    <t>KQF5G74</t>
  </si>
  <si>
    <t>REF. A UMA RDO UMA CONSULTA RASTER 7487464 CAVALO KQF5G74 MOT. MARCOS GAIGHER GONÇALVES SOLIC. POR JOÃO PEDRO TICKET 197033 DIA 19-05-2026</t>
  </si>
  <si>
    <t>REF A TRÊS CONSULTAS RASTER 7487702 CAVALO NLS8775 MOT. LUIZ CARLOS QUERINO SOLIC POR FRANCISCO TICKET 197036 DIA 19/05/2026</t>
  </si>
  <si>
    <t>HUGO LEONARDO DA SILVA MOREIRA</t>
  </si>
  <si>
    <t>RTE6H74</t>
  </si>
  <si>
    <t>REF A UMA RDO UMA PESQUISA AVULSA NORMAL RASTER 7483270 CAVALO RTE6H74 MOT. HUGO LEONARDO DA SILVA MOREIRA SOLIC. POR GUSTAVO TICKET 197037 DIA 19/05/2026</t>
  </si>
  <si>
    <t>REF A TRÊS CONSULTAS RASTER 7487729 CAVALO ICL1C36 MOT. JORGE VELCI DOS SANTOS JUNIOR SOLIC. POR FRANCISCO TICKET 197038 DIA 19/05/2026</t>
  </si>
  <si>
    <t>ORLEAN DA COSTA FERNANDES</t>
  </si>
  <si>
    <t>FWU7F65</t>
  </si>
  <si>
    <t>REF. A A UMA RDO DUAS CONSULTAS RASTER 7487726 CAVALO FWU7F65 MOT. ORLEAN DA COSTA FERNANDES SOLIC POR JOÃO PEDRO TICKET 197039 DIA 19/05/2026.</t>
  </si>
  <si>
    <t>REF. A TRÊS CONSULTAS RASTER 7488542 CAVALO 7488542 MOT. FERNANDO SANTOS OLIVEIRA SOLIC. POR MARCELO TICKET 197042 DIA 19-05-2026</t>
  </si>
  <si>
    <t>NELSON FERREIRA DE ANDRADE</t>
  </si>
  <si>
    <t>REF. A UMA RDO UMA PESQUISA AVULSA EXPRESSA    RASTER   7467222    CAVALO   UEB3F27    MOT.  NELSON FERREIRA  SOLIC. POR FRANCISCO TICKET 197043 DIA 19-05-2026</t>
  </si>
  <si>
    <t>REFERENTE A 3 CONSULTAS RASTER Nº 7490836 - SOLICITAÇÃO DEBORA - TICKET Nº 197045 - MOT. ANDRE DADA DA SILVA</t>
  </si>
  <si>
    <t>04.40</t>
  </si>
  <si>
    <t>REFERENTE A 2 CONSULTAS RASTER Nº 7491047 - SOLICITAÇÃO SANDRO - TICKET Nº 197047 - MOT.HEBER RODRIGUEZ MUNIZ</t>
  </si>
  <si>
    <t>MARCOS ADRIANO PENS</t>
  </si>
  <si>
    <t>REFERENTE A CONSULTA OPENTECH  (CONJUNTO/MOT) - SOLICITAÇÃO DEBORA - TICKET Nº  197048 - MOT. MARCOS ADRIANO PENS</t>
  </si>
  <si>
    <t>ELDER AGUIAR DA SILVA</t>
  </si>
  <si>
    <t>GTN7D29</t>
  </si>
  <si>
    <t>REFERENTE A CONSULTA OPENTECH  (CONJUNTO/MOT) - SOLICITAÇÃO DEBORA - TICKET Nº  197049 - MOT.  ELDER AGUIAR DA SILVA</t>
  </si>
  <si>
    <t>REFERENTE A CONSULTA SKYMARK Nº 197052 - SOLICITAÇÃO ALESSANDRO - TICKET Nº 197052 - MOT. GLEISON RICARDO ALVES</t>
  </si>
  <si>
    <t>REFERENTE A 2 CONSULTAS RASTER Nº 7481815 - SOLICITAÇÃO EDVAN - TICKET Nº 197057 - MOT. JOSE RINALDO PEREIRA DA SILVA</t>
  </si>
  <si>
    <t>REFERENTE A 2 CONSULTAS RASTER Nº 7491744 - SOLICITAÇÃO VALDIR - TICKET Nº 197059 - MOT. FRANCISCO DAS CHAGAS COSTA DA SILVA</t>
  </si>
  <si>
    <t>REFERENTE A CONSULTA OPENTECH  (CONJUNTO/MOT) - SOLICITAÇÃO DEBORA - TICKET Nº  197061  - MOT.   EDUARDO JOSE DA SILVA - 043.889.299-21</t>
  </si>
  <si>
    <t>REFERENTE A CONSULTA SKYMARK Nº 3937234 - SOLICITAÇÃO CLAUDIO - TICKET Nº 197063 - MOT. JOSE SILVANIR DA SILVA</t>
  </si>
  <si>
    <t>RODOLFO DE JESUS DOMINGUES</t>
  </si>
  <si>
    <t>UBA0F91</t>
  </si>
  <si>
    <t>REFERENTE A 2 PESQUISAS COMBO NORMAL RASTER Nº 7487906 - SOLICITAÇÃO FABIO - TICKET Nº 197068 - MOT. RODOLFO DE JESUS DOMINGUES</t>
  </si>
  <si>
    <t>REFERENTE A CONSULTA SKYMARK Nº 3940458 - SOLICITAÇÃO CLAUDIO - TICKET Nº 197069 - MOT. JULIO CESAR DE MELO</t>
  </si>
  <si>
    <t>REFERENTE A 2 CONSULTAS RASTER Nº 7492965 - SOLICITAÇÃO SANDRO - TICKET Nº 197071 - MOT. NILSON ROSA BOM</t>
  </si>
  <si>
    <t>REFERENTE A CONSULTA OPENTECH  (CONJUNTO/MOT) - SOLICITAÇÃO DEBORA - TICKET Nº  197075  - MOT.   EVILASIO PACHECO</t>
  </si>
  <si>
    <t>REFERENTE A TRÊS CONSULTAS RASTER 7493866 - CAVALO SXL9H56 - MOT. ADELFON DA SILVA - SOLIC. POR Debora Morgado - TICKET 197078 - DIA 20-05-26</t>
  </si>
  <si>
    <t>REFERENTE A CONSULTA SKYMARK Nº  3941119 - SOLICITAÇÃO VITOR - TICKET Nº 197080 - MOT. MIGUEL APARECIDO PEREIRA FILHO</t>
  </si>
  <si>
    <t>REFERENTE A CONSULTA SKYMARK Nº  3941143 - SOLICITAÇÃO ALESSANDRO - TICEKT 197081 - MOT. SEBASTIAO DA CRUZ MARQUES</t>
  </si>
  <si>
    <t>ROMANO SCHMITZ</t>
  </si>
  <si>
    <t>GBO1H48</t>
  </si>
  <si>
    <t>REFERENTE A 2 PESQUISAS EXPRESSAS 1 RDO RASTER Nº 7492978 - SOLICITAÇÃO DEBORA - TICKET Nº 197083 - MOT. ROMANO SCHMITZ</t>
  </si>
  <si>
    <t>ROBINSON FERREIRA DA ROCHA</t>
  </si>
  <si>
    <t>NYQ8J67</t>
  </si>
  <si>
    <t>REFERENTE A 2 PESQUISAS EXPRESSAS 1 RDO RASTER Nº 7491162 - SOLICITAÇÃO FRANCISCO - TICKET Nº 197092 - MOT. ROBINSON FERREIRA DA ROCHA</t>
  </si>
  <si>
    <t>KENNEDY RODRIGUES DE SOUZA</t>
  </si>
  <si>
    <t>KOJ6D26</t>
  </si>
  <si>
    <t>REFERENTE A CONSULTA OPENTECH  (CONJUNTO/MOT) - SOLICITAÇÃO THAIS - TICKET Nº  197096  - MOT.   KENNEDY RODRIGUES DE SOUZA</t>
  </si>
  <si>
    <t>REFERENTE A CONSULTA SKYMARK Nº 3941597 - SOLICITAÇÃO ALESSANDRO - TICKET Nº 197099 - MOT. SILVIO ANDRE MARTINS DOS SANTOS</t>
  </si>
  <si>
    <t>ERNANE VINICIUS DIAS</t>
  </si>
  <si>
    <t>OPX0G85</t>
  </si>
  <si>
    <t>REFERENTE A PESQUISA SKYMARK Nº 3941633 - SOLICITAÇÃO ALESSANDRO - TICKET Nº 197100 - MOT. ERNANE VINICIUS DIAS</t>
  </si>
  <si>
    <t>ISAC RABELO BITTENCOURT</t>
  </si>
  <si>
    <t>JCT8I15</t>
  </si>
  <si>
    <t>REF A  CINCO PESQUISAS SKYMARK 3939920 CAVALO JCT8I15 MOT. ISAC RABELO BITTENCOURT SOLIC. POR JEAN TICKET 197101 DIA 20/05/2026</t>
  </si>
  <si>
    <t>REFERENTE A 3 CONSULTAS RASTER Nº 7499677 - SOLICITAÇÃO FABIANA - TICKET Nº 197118 - MOT. ORLEAN DA COSTA FERNANDES</t>
  </si>
  <si>
    <t>REFERENTE A 3 CONSULTAS RASTER Nº 7499863 - SOLICITAÇÃO MARCELO -TICKET 197120 - MOT FERNANDO SANTOS OLIVEIRA</t>
  </si>
  <si>
    <t>REFERENTE A CONSULTA OPENTECH (CONJUNTO/MOT) - SOLICITAÇÃO DEBORA - TICKET Nº 197122 - MOT. EDUARDO JESUS TOMAZINHO</t>
  </si>
  <si>
    <t>NELSON MANOEL DA SILVA FILHO</t>
  </si>
  <si>
    <t>JLM9334</t>
  </si>
  <si>
    <t>REFERENTE A 1 PESQUISA NORMAL COMBO E 1 RDO RASTER Nº 7481361 - SOLICIAÇÃO ANTONIO - TICKET Nº 197141 - MOT. NELSON MANOEL DA SILVA FILHO</t>
  </si>
  <si>
    <t>REFERENTE A CONSULTA SKYMARK Nº 3943133 - SOLICITAÇÃO ALESSANDRO - TICKET Nº 197142 - MOT. ADENILSON BARROS DE OLIVEIRA</t>
  </si>
  <si>
    <t>REFERENTE A 3 CONSULTAS RASTER Nº 7501158 - SOLICITAÇÃO ISMAEL - TICKET 197143 - MOT. DANIEL AFONSO SAATH</t>
  </si>
  <si>
    <t>IQX2D31</t>
  </si>
  <si>
    <t>REFERENTE A 1 PESQUISA EXPRESSA COMBO 1 CONSULTA RASTER Nº 7501377 - SOLICITAÇÃO JOÃO PEDRO - TICKET 197145 - MOT. CARLOS HENRIQUE MAZUREK</t>
  </si>
  <si>
    <t>VALDNEI APARECIDO NUNES</t>
  </si>
  <si>
    <t>EWU5G36</t>
  </si>
  <si>
    <t>REFERENTE A 2 PESQUISA NORMAL COMBO 1 RDO RASTER Nº 7493450 - SOLICITAÇÃO MARCELO - TICKET Nº 197150 - MOT. VALDNEI APARECIDO NUNES</t>
  </si>
  <si>
    <t>AGNALDO ALVES DOS SANTOS</t>
  </si>
  <si>
    <t>ISE9994</t>
  </si>
  <si>
    <t>REFERENTE A 3 PESQUISAS NORMAL RASTER Nº 7500540 - SOLICITAÇÃO EDVAN - TICKET Nº 197152 - MOT. AGNALDO ALVES DOS SANTOS</t>
  </si>
  <si>
    <t>REFERENTE A 4 CONSULTAS RASTER Nº 7500344 - SOLICITAÇÃO EDVAN - TICKET Nº 197153 - MOT. SEBASTIAO CARVALHO</t>
  </si>
  <si>
    <t>REFERENTE A 2 CONSULTAS RASTER Nº 7501950 - SOLICITAÇÃO JOÃO PEDRO - TICKET Nº 197155 - MOT. MARCOS GAIGHER GONÇALVES</t>
  </si>
  <si>
    <t>THIAGO MELLES DA SILVA</t>
  </si>
  <si>
    <t>FFR9C62</t>
  </si>
  <si>
    <t>REFERENTE A 3 PESQUISAS EXPRESSAS RASTER Nº 7501155 - SOLICITAÇÃO PAULO - TICKET Nº 197158 - MOT. THIAGO MELLES DA SILVA</t>
  </si>
  <si>
    <t>REFERENTE A CONSULTA SKYMARK Nº 3943952 - SOLICITAÇÃO MATHEUS - TICKET Nº 197170 - MOT PAULO SERGIO ALVES CUNHA</t>
  </si>
  <si>
    <t>ALYSON FERNANDO DE OLIVEIRA CARVALHO</t>
  </si>
  <si>
    <t>BWT2D98</t>
  </si>
  <si>
    <t>AQUILES DAMASCENO PORTES</t>
  </si>
  <si>
    <t>QPE5266</t>
  </si>
  <si>
    <t>REFERENTE A CONSULTA SKYMARK Nº 3944387 - SOLICITAÇÃO MATHEUS - TICKET Nº 197184 - MOT.  AQUILES DAMASCENO PORTES</t>
  </si>
  <si>
    <t>ANIELSON FERREIRA DA SILVA</t>
  </si>
  <si>
    <t>ETU7J29</t>
  </si>
  <si>
    <t>REF A DUAS PESQUISAS COMBO EXPRESSA RASTER 7503295 CAVALO ETU7J29 MOT. ANIELSON FERREIRA DA SILVA SOLIC. POR RAFAEL TICKET 197195 DIA 21/05/2026</t>
  </si>
  <si>
    <t>HAMILTON ROBERTO RIBEIRO</t>
  </si>
  <si>
    <t>KEN0B66</t>
  </si>
  <si>
    <t>04.44</t>
  </si>
  <si>
    <t>REF A DUAS PESQUISA AVULSA NOMAL RASER 7500913 CAVALO KEN0B66 MOT. HAMILTON ROBERTO RIBEIRO SOLIC. POR MARLON TICKET  197187 DIA  21/05/2026</t>
  </si>
  <si>
    <t>REF A UMA RDO UMA PESQUISA  OPENTECH CAVALO OQO2J97 MOT. GEDILSON BARROS SILVANO DE AZEREDO SOLC. POR DEBORA TICKET 197204 DIA 21/05/2026</t>
  </si>
  <si>
    <t>TADEU MADORNADO</t>
  </si>
  <si>
    <t>AJC1F73</t>
  </si>
  <si>
    <t>REF. A DOIS ITENS PESQ. COMBO NORMAL + RDO RASTER 7500753 - CAVALO AJC1F73 - MOT. TADEU MADORNADO - SOLIC. POR Thais Souza - TICKET 197205 - DIA 21-05-26</t>
  </si>
  <si>
    <t>GUILHERME RODRIGUES MIGUEL</t>
  </si>
  <si>
    <t>BUS9I90</t>
  </si>
  <si>
    <t>REF A UMA RDO UMA CONSULTA OPENTECH CAVALO BUS9I90 MOT. GUILHERME RODRIGUES MIGUEL SOLIC. POR DEBORA TICKET 197210 DIA 21/05/2026</t>
  </si>
  <si>
    <t>REF A UMA RDO RASTER  7502917 CAVALO BUS9I90 MOT. GUILHERME RODRIGUES MIGUEL SOLIC. POR DEBORA TICKET 197210 DIA 21/05/2026</t>
  </si>
  <si>
    <t>WALACY LIMA DE OLIVEIRA</t>
  </si>
  <si>
    <t>KMW9A76</t>
  </si>
  <si>
    <t>REF A TRÊS PESQUISAS COMBO RASTER 7504431 CAVALO KMW9A76 MOT. WALACY LIMA DE OLIVEIRA SOLIC. POR FRANCISCO TICKET 197215 DIA 21/05/2026</t>
  </si>
  <si>
    <t>FLAVIO HENRIQUE DOS SANTOS</t>
  </si>
  <si>
    <t>KAH6G71</t>
  </si>
  <si>
    <t>REF A TRES PESQUISAS COMBO NORMAL RASTER 7502787 CAVALO KAH6G71 MOT. FLAVIO HENRIQUE DOS SANTOS SOLIC. POR MARCELO TICKET  197217 DIA 21/05/2026</t>
  </si>
  <si>
    <t>RAFAEL DA SILVA OLIVEIRA</t>
  </si>
  <si>
    <t>GVP5E96</t>
  </si>
  <si>
    <t>REF A UMA RDO UMA CONSULTA OPENTECH CAVALO GVP5E96 MOT. RAFAEL DA SILVA OLIVEIRA SOLIC. POR DEBORA TICKET 197218 DIA 21/05/2026</t>
  </si>
  <si>
    <t>BENEDITO DARCY DOS SANTOS</t>
  </si>
  <si>
    <t>BXC2E34</t>
  </si>
  <si>
    <t>REF. A DUAS PESQUISAS COMBO NORMAL RASTER 7505921 CAVALO BXC2E34 MOT. BENEDITO DARCY DOS SANTOS SOLIC. POR CHRISTIAN TICKET  197223 DIA 21/05/2026</t>
  </si>
  <si>
    <t>WARLEY PIRES DA SILVA</t>
  </si>
  <si>
    <t>REFERENTE A CONSULTA SKYMARK Nº 3945921 - SOLICITAÇÃO ALESSANDRO - TICKET Nº 197228 - MOT. WARLEY PIRES DA SILVA</t>
  </si>
  <si>
    <t>MARCOS GERALDO DE SOUZA</t>
  </si>
  <si>
    <t>EVU0E02</t>
  </si>
  <si>
    <t>REFERENTE A PESQUISA SKYMARK Nº 3946038 - SOLICITAÇÃO ALESSANDRO - TICKET Nº 197232 - MOT. MARCOS GERALDO DE SOUZA</t>
  </si>
  <si>
    <t>REFERENTE A CONSULTA OPENTECH (CONJUNTO/MOT) - SOLICITAÇÃO DEBORA - TICKET Nº 197234 - MOT. ANDRE DE CARVALHO PELLEGRINO</t>
  </si>
  <si>
    <t>REFERENTE A 3 CONSULTAS RASTER Nº 7511361 - SOLICITAÇÃO ISMAEL - TICKET Nº 197247 - MOT. ANDERSON RITTER RICKROT</t>
  </si>
  <si>
    <t>REFERENTE A CONSULTA SKYMARK Nº 3946701 - SOLICITAÇÃO MATHEUS - TICKET Nº 197252 - MOT. PEDRO IVAN DE CASTRO ALVES</t>
  </si>
  <si>
    <t>DIEGO FELIPE UHLMANN</t>
  </si>
  <si>
    <t>JCS0J28</t>
  </si>
  <si>
    <t>REFERENTE A CONSULTA SKYMARK Nº 3946726 - SOLICITAÇÃO MATHEUS - TICKET Nº 197255 - MOT. DIEGO FELIPE UHLMANN</t>
  </si>
  <si>
    <t>REFERENTE A 3 CONSULTAS RASTER Nº 7512022 - SOLICITAÇÃO FERNANDA - TICKET Nº 197262 - MOT. TIAGO BUENO KEHRWALD</t>
  </si>
  <si>
    <t>REF A UMA RDO UMA PESQUISA OPENTECH 220526 CAVALO HJZ2B75 MOT. JURACI ANTONIO FERREIRA DE SOUZA SOLIC. POR DEBORA TICKET 197265 DIA 22/05/2026</t>
  </si>
  <si>
    <t>JOILSON FRASSETTO DE QUADROS</t>
  </si>
  <si>
    <t>EKH4B16</t>
  </si>
  <si>
    <t>REF A UMA RDO DUAS PESQUISAS COMBO NORMAL RASTER 7511698 CAVALO EKH4B16 MOT. JOILSON FRASSETTO DE QUADROS SOLIC. POR MARCELLI TICKET 197271 DIA 22/05/2026</t>
  </si>
  <si>
    <t>JOSE EURIMAR CARNEIRO</t>
  </si>
  <si>
    <t>OCD6491</t>
  </si>
  <si>
    <t>REF A UMA RDO UMA  PESQUISA AVULSA RASTER 7512922 CAVALO OCD6491 MOT. JOSE EURIMAR CARNEIRO SOLIC. POR Eduardo José Cordeiro Neto VIA -EMAIL DIA 22/05/2026 14:54</t>
  </si>
  <si>
    <t xml:space="preserve">ref a uma rdo </t>
  </si>
  <si>
    <t>JEFERSON LUIS CABREIRA</t>
  </si>
  <si>
    <t>III6070</t>
  </si>
  <si>
    <t>REFERENTE A 3 PESQUISAS NORMAL RASTER Nº 7512470 - SOLICITAÇÃO MARCELLI - TICKET Nº 197272 - MOT. JEFERSON LUIS CABREIRA</t>
  </si>
  <si>
    <t>MARCELINO VACARO</t>
  </si>
  <si>
    <t>JCH0380</t>
  </si>
  <si>
    <t>REF. A UMA RDO DUAS PESQUISAS COMBO NORMAL RASTER 7511739 CAVALO JCH0380 MOT. MARCELINO VACARO SOLIC. POR MARCELLI TICKET 197299 DIA 22/05/2026</t>
  </si>
  <si>
    <t>ERONI OTTO CORREIA</t>
  </si>
  <si>
    <t>ISX0D37</t>
  </si>
  <si>
    <t>REF A TRES PESQUISAS COMBO NORMAL RASTER 7512288 CAVALO ISX0D37 MOT. ERONI OTTO CORREIA SOLIC. POR MARCELLI TICKET 197300 DIA 22/05/2026</t>
  </si>
  <si>
    <t>ANTONIO CARLOS SANTOS SAMPAIO</t>
  </si>
  <si>
    <t>BWF7C75</t>
  </si>
  <si>
    <t>REF  A TRES PESQUISAS COMBO EXPRESSA RASTER 7510416 CAVALO BWF7C75 MOT. ANTONIO CARLOS SANTOS SAMPAIO SOLIC. POR FRANCISCO TICKET 197301 DIA 22/05/2026</t>
  </si>
  <si>
    <t>REF A  TRES CONSULTAS RASTER 7514105 CAVALO JAO8B83 MOT. FABIO FEIJO SOLIC. POR MARCELLI TICKET  197302 DIA 22/05/2026</t>
  </si>
  <si>
    <t>FABIO JUNIOR ROCATELI</t>
  </si>
  <si>
    <t>MAP2A24</t>
  </si>
  <si>
    <t>REF.A UMA RDO DUAS PESQUISAS COMBO NORMAL RASTER 7512208 CAVALO MAP2A24 MOT. FABIO JUNIOR ROCATELI SOLIC. POR MARCELLI TICKET 197303 DIA 22/05/2026</t>
  </si>
  <si>
    <t>GILSON DA SILVA BRISTOT</t>
  </si>
  <si>
    <t>MKP4C82</t>
  </si>
  <si>
    <t>REF A TRES PESQUISAS COMBO NORMAL RASTER 7515759CAVALO MKP4C82 MOT. GILSON DA SILVA BRISTOT SOLIC. POR MARCELLI TICKET 197304 DIA 22/05/2026</t>
  </si>
  <si>
    <t>GEVERSON GENEROSO CARDOSO</t>
  </si>
  <si>
    <t>MLY9I00</t>
  </si>
  <si>
    <t>REF. A TRES PESQUISAS COMBO NORMAL RASTER 7515766 CAVALO MLY9I00 MOT. GEVERSON GENEROSO CARDOSO SOLIC. POR MARCELLI TICKET 197305 DIA 22/05/2026</t>
  </si>
  <si>
    <t>LUIZ CARLOS CARDOSO DA CUNHA</t>
  </si>
  <si>
    <t>MJG3J20</t>
  </si>
  <si>
    <t>REF A  TRÊS PESQUISAS COMBO NORMAL RASTER 7515751CAVALO MJG3J20 MOT. LUIZ CARLOS CARDOSO DA CUNHASOLIC. POR MARCELLI TICKET 197307 DIA 22/05/2026</t>
  </si>
  <si>
    <t>REF. A TRES CONSULTAS RASTER 7515879 CAVALO KMW9A76 MOT. WALACY LIMA DE OLIVEIRA SOLIC. POR FRANCISCO TICKET 197308 DIA 22/05/2026</t>
  </si>
  <si>
    <t>HENRIQUE GABRIEL UEBEL DA SILVA</t>
  </si>
  <si>
    <t>IRF0700</t>
  </si>
  <si>
    <t>REF. A TRES PESQUISAS COMBO EXPRESSA RASTER 7515187 CAVALO IRF0700 MOT. HENRIQUE GABRIEL UEBEL DA SILVA SOLIC. POR FRANCISCO TICKET  197310 DIA 22/05/2026</t>
  </si>
  <si>
    <t>REFERENTE A CONSULTA SKYMARK Nº 3949924 - SOLICITAÇÃO ALESSANDRO - TICKET Nº 197357 - MOT. PEDRO EMANUEL DAMASCENO GOMES SILVA</t>
  </si>
  <si>
    <t>ROSINEI DE AMORIM BORGES</t>
  </si>
  <si>
    <t>LZM0E79</t>
  </si>
  <si>
    <t>REF 01 PESQUISA COMBO 7513225, SOLICITADO POR MARCELLI, TICKET 197325 , MOT ROSINEI DE AMORIM BORGES</t>
  </si>
  <si>
    <t>REF 02 CONSULTAS RASTER 7520859 , SOLICITADO POR João Pedro Amaro Minari, TICKET 197328, MOT LUIZ HENRIQUE TAVARES PASSOS</t>
  </si>
  <si>
    <t>TAILAN SILVA DOS SANTOS</t>
  </si>
  <si>
    <t>IUY1F53</t>
  </si>
  <si>
    <t>REF 01 PESQUISA COMBO 7513971 , SOLICITADO POR MARCELLI, TICKET 197335, MOT TAILAN SILVA DOS SANTOS</t>
  </si>
  <si>
    <t>JOSAETE BARROS DE OLIVEIRA</t>
  </si>
  <si>
    <t>MIO0I53</t>
  </si>
  <si>
    <t>REFERENTE A 2 PESQUISAS EXPRESSAS COMBO 1 RDO RASTER Nº 7521256 - TICKET Nº 197362 - MOT. JOSAETE BARROS DE OLIVEIRA</t>
  </si>
  <si>
    <t>JACKSON DOUGLAS MARTINS BISPO</t>
  </si>
  <si>
    <t>EWM6B50</t>
  </si>
  <si>
    <t>REF 02 PESQUISA COMBO 7524057 , SOLICITADO POR Christian , TICKET 197340 , MOT. JACKSON DOUGLAS MARTINS BISPO</t>
  </si>
  <si>
    <t>REFERENTE A 2 CONSULTA SKYMARK Nº 3949424 - SOLICITAÇÃO MATHEUS - TICKET Nº 197365 - MOT. JOELTON DE LORETO</t>
  </si>
  <si>
    <t>LEANDRO WALTER</t>
  </si>
  <si>
    <t>MKD4B40</t>
  </si>
  <si>
    <t>04.29</t>
  </si>
  <si>
    <t>REF 04  PESQUISA COMBO 7524117 , SOLICITADO POR Fábio Martins , TICKET 197342 , LEANDRO WALTER</t>
  </si>
  <si>
    <t>REF 02 PESQUISA COMBO 7524353 , SOLICITADO POR Rafael  , TICKET 197345 , MOT. ROBSON SILVEIRA ROCHA</t>
  </si>
  <si>
    <t>ELIAS ALEXANDRE MIRANDA</t>
  </si>
  <si>
    <t>STI2H29</t>
  </si>
  <si>
    <t>REFERENTE A 2 CONSULTAS RASTER Nº 7527308 - SOLICITAÇÃO SULEN - TICKET Nº 197367 - MOT.  ELIAS ALEXANDRE MIRANDA</t>
  </si>
  <si>
    <t>REFERENTE A CONSULTA SKYMARK Nº 3950197 - SOLICITAÇÃO ALESSANDRO - TICKET Nº 197368 - MOT. PAULO SERGIO ALVES CUNHA</t>
  </si>
  <si>
    <t>REFERENTE A 3 PESQUISAS NORMAL RASTER Nº 7526757 - SOLICITAÇÃO MATHEUS - TICKET Nº 197372 - MOT. MARCOS JUNIO DE FREITAS LAGE</t>
  </si>
  <si>
    <t>HERMES HENRIQUE ELLER</t>
  </si>
  <si>
    <t>GXA6I39</t>
  </si>
  <si>
    <t>REF. A PESQ. SKYMARK 3950572 - CAVALO GXA6I39 - MOT. HERMES HENRIQUE ELLER - SOLIC. POR Alessandro Lagares Ferreira - TICKET 197377 - DIA 25-05-2026</t>
  </si>
  <si>
    <t>FELIPE HENRIQUE OLIVEIRA</t>
  </si>
  <si>
    <t>RMO6D43</t>
  </si>
  <si>
    <t>REF. A DOIS ITENS PESQ. COMBO EXPRESSO + RDO RASTER 7527425 - CAVALO RMO6D43 - MOT. FELIPE HENRIQUE OLIVEIRA  - SOLIC. Debora Morgado - TICKET 197382 - DIA 25-05-26</t>
  </si>
  <si>
    <t>REF. A PESQ. OPENTECH - CAVALO RMO6D43 - MOT. FELIPE HENRIQUE OLIVEIRA  - SOLIC. Debora Morgado - TICKET 197382 - DIA 25-05-26</t>
  </si>
  <si>
    <t>GILMAR LOURENCO DA SILVA</t>
  </si>
  <si>
    <t>SJB6I24</t>
  </si>
  <si>
    <t>REF. A PESQ. SKYMARK 3950803 - CAVALO SJB6I24 - MOT. GILMAR LOURENCO DA SILVA - SOLIC. POR Matheus Andrade Ferreira - TICKET 197383 - DIA 25-05-26</t>
  </si>
  <si>
    <t>GLEICIANO CELESTINO DOS SANTOS ALMEIDA</t>
  </si>
  <si>
    <t>HMV4D81</t>
  </si>
  <si>
    <t>REFERENTE 3 PESQUISAS NORMAL COMBO RASTER Nº 7599305 - SOLICITAÇÃO MATHEUS - TICKET Nº 197391 - MOT. GLEICIANO CELESTINO DOS SANTOS ALMEIDA</t>
  </si>
  <si>
    <t>REFERENTE 3 PESQUISAS NORMAL COMBO RASTER Nº 7527803 - SOLICITAÇÃO MATHEUS - TICKET Nº 197392 - MOT. ROBERSON ALVES DA CRUZ</t>
  </si>
  <si>
    <t>JOAO BATISTA ALVES OOZ2410</t>
  </si>
  <si>
    <t>JBE1E96</t>
  </si>
  <si>
    <t>REFERENTE A 2 PESQUISAS COMBO NORMAL 1 RDO RASTER Nº 7528538 - SOLICITAÇÃO MATHEUS - TICKET Nº 197395 - MOT. JOAO BATISTA ALVES</t>
  </si>
  <si>
    <t>THIAGO ALVES RODRIGUES</t>
  </si>
  <si>
    <t>MRH8D99</t>
  </si>
  <si>
    <t>REFERENTE A PESQUISA SKYMARK Nº 3951281 - SOLICITAÇÃO ALESSANDRO - TICKET Nº 197396 - MOT. THIAGO ALVES RODRIGUES</t>
  </si>
  <si>
    <t>REFERENTE A 3 CONSULTAS RASTER Nº 7530772 - SOLICITAÇÃO FRANCISCO - TICKET Nº 197403 - MOT. ADRIANO JOSE CARVALHO DE ALMEIDA</t>
  </si>
  <si>
    <t>REFERENTE A CONSULTA OPENTECH (CONJUNTO/MOT) - SOLICITAÇÃO DEBORA - TICKET Nº 197405 - MOT. RONALDO GALVONE DE SALLES</t>
  </si>
  <si>
    <t>REFERENTE A 2 CONSULTAS RASTER Nº 7531401 - SOLICITAÇÃO JOÃO PEDRO - TICKET Nº 197407 - MOT. JEFERSON HENRIQUE DE CARVALHO</t>
  </si>
  <si>
    <t>ANDRE LUIS FERREIRA DE ALMEIDA</t>
  </si>
  <si>
    <t>KNB6A55</t>
  </si>
  <si>
    <t>REFERENTE A 3 PESQUISAS COMBO EXPRESSAS RASTER Nº 7515443 - SOLICITAÇÃO FRANCISCO - TICKET Nº 197414 - MOT. ANDRE LUIS FERREIRA DE ALMEIDA</t>
  </si>
  <si>
    <t>LUCAS PEREIRA MARQUES</t>
  </si>
  <si>
    <t>CUM5D54</t>
  </si>
  <si>
    <t>REFERENTE A 3 PESQUISAS COMBO NORMAL RASTER Nº 7530165 - SOLICITAÇÃO MARCELLI - TICKET Nº  197412 - MOT. LUCAS PEREIRA MARQUES</t>
  </si>
  <si>
    <t>REFERENTE A 2 CONSULTAS RASTER Nº 7532230 - SOLICITAÇÃO FRANCISCO - TICKET Nº 197418 - MOT. FLAVIO VICENTE GODE</t>
  </si>
  <si>
    <t>REF. A PESQ. SKYMARK 3951948 - CAVALO OMB6A63 - MOT. LUIS FILIPE ANDRADE ALVES - SOLIC. POR Alessandro Lagares Ferreira - TICKET 197424 - DIA 25-05-26</t>
  </si>
  <si>
    <t>REF. A DUAS CONSULTAS RASTER 7532613 - CAVALO TEB2C75 - MOT. BENIVALDO PEREIRA MONTEIRO - SOLIC. POR Gustavo Pereira Magalhães - TICKET 197425 - DIA 25-05-26</t>
  </si>
  <si>
    <t>REFERENTE A 2 PESQUISAS EXPRESSAS COMBO RASTER Nº 7529586 - SOLICITAÇÃO VALMIR - TICKET Nº 197430 - MOT. ROGERIO REINALDO DE SOUZA</t>
  </si>
  <si>
    <t>REF. A UMA RDO UMA CONSULTA RASTER 7533745 CAVALO RNU2J78 MOT. REGIS SOUZA DIAS FILHO SOLIC. POR CHRISTIAN TICKET 197436 DIA 25/05/2026</t>
  </si>
  <si>
    <t>MATHEUS CAIRES QUEIROS</t>
  </si>
  <si>
    <t>EAY4B20</t>
  </si>
  <si>
    <t>REF A UMA RDO UMA CONSULTA RASTER 7533782 CAVALO EAY4B20 MOT. MATHEUS CAIRES QUEIROSSOLIC. POR CHRISTIAN TICKET 197438 DIA 25/05/2026</t>
  </si>
  <si>
    <t>GLADSTON CASSIMIRO ALVES</t>
  </si>
  <si>
    <t>NXY5170</t>
  </si>
  <si>
    <t>REF A DUAS LIBERAÇÕES SKYMARK 3952519 CAVALO NXY5170 SOLIC.POR ROBERTA TICKET 197439 DIA 25/05/2026</t>
  </si>
  <si>
    <t>GABRIEL OLIVEIRA DE ALENCAR</t>
  </si>
  <si>
    <t>QNN5G05</t>
  </si>
  <si>
    <t>REF A UMA RDO UMA CONSULTA RASTER  7534056 CAVALO QNN5G05 MOT. GABRIEL OLIVEIRA DE ALENCAR SOLIC. POR CHRISTIAN TICKET 197440 DIA 25/05/2026</t>
  </si>
  <si>
    <t>JOAO MIGUEL FILHO</t>
  </si>
  <si>
    <t>ETM1F03</t>
  </si>
  <si>
    <t>REF A UMA RDO UMA CONSULTA RASTER 7534121CAVALO ETM1F03 MOT. JOAO MIGUEL FILHO SOLIC. POR CHRISTAN  TICKET 197441DIA 25/05/2026</t>
  </si>
  <si>
    <t>GLAYDSON DANIEL F DE ARAUJO TEIXEIRA</t>
  </si>
  <si>
    <t>OGK2F67</t>
  </si>
  <si>
    <t>REFERENTE A CONSULTA OPENTECH (CONJUNTO/MOT) - SOLICITAÇÃO DEBORA - TICKET Nº  197449 - MOT. GLAYDSON DANIEL F DE ARAUJO TEIXEIRA</t>
  </si>
  <si>
    <t>REFERENTE A PESQUISA SKYMARK (CONJUNTO/MOT) Nº 3952520 - SOLICITAÇÃO CRISLAINE - TICKET Nº 197442 - MOT. ANTONIO JULIO DE OLIVEIRA</t>
  </si>
  <si>
    <t>FERNANDO LYRIO CORDEIRO</t>
  </si>
  <si>
    <t>MTR6J24</t>
  </si>
  <si>
    <t>REFERENTE A CONSULTA OPENTECH (CONJUNTO/MOT) - SOLICITAÇÃO DEBORA - TICKET Nº 197447 - MOT. FERNANDO LYRIO CORDEIRO</t>
  </si>
  <si>
    <t>REFERENTE A 2 PESQUISAS EXPRESSAS 1 RDO RASTER Nº 7527157 - SOLICITAÇÃO DEBORA - TICKET Nº 197448 - MOT. GLAYDSON DANIEL F DE ARAUJO TEIXEIRA</t>
  </si>
  <si>
    <t>CLODOALDO AMERICO SINCORA FILHO</t>
  </si>
  <si>
    <t>PXE8H90</t>
  </si>
  <si>
    <t>REFERENTE A 3 PESQUISAS NORMAL COMBO RASTER Nº 7526595 - SOLICITAÇÃO MATHEUS - TICKET Nº 197454 - MOT. CLODOALDO AMERICO SINCORA FILHO</t>
  </si>
  <si>
    <t>OQS7E52</t>
  </si>
  <si>
    <t>REFERENTE A 3 PESQUSIAS NORMAL COMBO RASTER Nº 7529854 - SOLICITAÇÃO MATHEUS - TICKET Nº 197455 - MOT. DARLAN VINICIO DUARTE</t>
  </si>
  <si>
    <t>FERNANDO FERREIRA GALVAO</t>
  </si>
  <si>
    <t>SWY4A20</t>
  </si>
  <si>
    <t>REFERENTE A 2 PESQUISAS EXPRESSA NORMAL RASTER Nº 7535998 - SOLICITAÇÃO GABRIEL - TICKET Nº 197461 - MOT. FERNANDO FERREIRA GALVAO</t>
  </si>
  <si>
    <t>REFERENTE A 2 CONSULTAS RASTER Nº 7536489 - SOLICITAÇÃO VALMIR - TICKET Nº 197464 - MOT. LEANDRO MUNHOZ BALLERO</t>
  </si>
  <si>
    <t>WARLEY BARBOSA SILVA</t>
  </si>
  <si>
    <t>HIA6B66</t>
  </si>
  <si>
    <t>REFERENTE A 2 PESQUISA 1 PESQUISA AVULSA NORMAL RASTER Nº 7513931 - SOLICITAÇÃO MATHEUS - TICKET Nº 197469 - MOT. WARLEY BARBOSA SILVA</t>
  </si>
  <si>
    <t>REEFERENTE A 2 CONSULTAS RASTER Nº 7537413 - SOLICITAÇÃO SANDRO - TICKET Nº  197470 - MOT. HEBER RODRIGUEZ MUNIZ</t>
  </si>
  <si>
    <t>REFERENTE A CONSULTA SKYMARK Nº 3953801 - SOLICITAÇÃO VITOR - TICKET Nº 197471 - MOT. EDEMILSON EDSON GARCIA</t>
  </si>
  <si>
    <t>LUCIANO SILVA GONCALVES</t>
  </si>
  <si>
    <t>OMB5J72</t>
  </si>
  <si>
    <t>REFERENTE A PESQUISA SKYMARK Nº 3953837 - SOLICITAÇÃO ALESSANDRO - TICKET Nº 197474 - MOT. LUCIANO SILVA GONCALVES</t>
  </si>
  <si>
    <t>REF A UMA LIBERAÇÃO SKYMARK 3954156 CAVALO EFO9B17 MOT. MIGUEL APARECIDO PEREIRA FILHO SOLIC. POR  VITOR HUGO TICKET 197476 DIA 26/05/2026</t>
  </si>
  <si>
    <t>REF A UMA PESQUISA AVULSA EXPRESSA UMA PESQUISA COMBO EXPRESSA RASTER 7537999 CAVALO ETU7J29 MOT. ANIELSON FERREIRA DA SILVA SOLIC. POR  GABRIELA TICKET 197477 DIA 26/05/2026</t>
  </si>
  <si>
    <t>REF A UMA RDO UMA PESQUISA CONJUNTO  OPENTECH 260526 CAVALO ACH1G73 MOT. LEANDRO DO NASCIMENTO 32316953840 SOLIC. POR DEBORA TICKET 197497 DIA 26/05/2026</t>
  </si>
  <si>
    <t>REF A TRES PESQUISAS SKYMARK 3954809 CAVALO OXA2D66 MOT, RONALDO ADRIANO ROSA SOLIC. POR ALESSANDRO TICKET 197500 DIA 26/05/2026</t>
  </si>
  <si>
    <t>REFERENTE A PESQUISA SKYMARK Nº 3953396 (CONJUNTO/MOT) - SOLICITAÇÃO JEAN - TICKET Nº 197501 - MOT. WENDELL PEREIRA DO CARMO</t>
  </si>
  <si>
    <t>REFERENTE A 3 PESQUISAS NORMAL COMBO RASTER Nº 7539894 - SOLICITAÇÃO MATHEUS - TICKET Nº 197503 - MOT. PAULO JOSE DE ALMEIDA</t>
  </si>
  <si>
    <t>RONALDO TEODORO MACHADO</t>
  </si>
  <si>
    <t>HLT9E60</t>
  </si>
  <si>
    <t>REFERENTE A 2 PESQUISAS NORMAL RASTER 1 RDO Nº 7538488 - SOLICITAÇÃO MATHEUS - TICKET Nº 197502 - MOT. RONALDO TEODORO MACHADO</t>
  </si>
  <si>
    <t>REF A TRES PESQUISAS COMBO NORMAL RASTER 7540546 CAVALO QJI8B26 MOT. JEFFERSON SOCORRO MARQUES -083 SOLIC. POR  MATHEUS TICKET 197513 DIA 26/05/2026</t>
  </si>
  <si>
    <t>MARCELO VIEIRA GONCALVES</t>
  </si>
  <si>
    <t>OWI9J80</t>
  </si>
  <si>
    <t>REFERENTE A 3 PESQUISAS NORMAL COMBO RASTER Nº 7528730 - SOLICITAÇÃO MATHEUS - TICKET Nº 197514 - MOT. MARCELO VIEIRA GONCALVES</t>
  </si>
  <si>
    <t>REFERENTE A PESQUISA SKYMARK Nº 3955262 - SOLICITAÇÃO VALNEI - TICKET Nº 197515 - MOT. IRAN CARDOSO MACIEL</t>
  </si>
  <si>
    <t xml:space="preserve">REF A DUAS PESQUISAS COMBO RASTER 7539339 CAVALO UER4G70 MOT. LUIZ HENRIQUE TAVARES PASSOS SOLIC. POR RAFAEL TICKET  197516 DIA 26/05/2026 </t>
  </si>
  <si>
    <t>REF A TRES CONSULTAS RASTER 7541857 CAVALO NLS8775 MOT. LUIZ CARLOS QUERINO SOLIC. POR FRANCISO TICKET 197523 DIA 26/05/2026</t>
  </si>
  <si>
    <t>WENDER BRUZON DECOLO</t>
  </si>
  <si>
    <t>MWM9494</t>
  </si>
  <si>
    <t>REFERENTE A 2 PESQUISA NORMAL COMBO EXPRESSA 1 RDO RASTER Nº 7540311 - SOLICITAÇÃO MATHEUS - TICKET Nº 197533 MOT. WENDER BRUZON DECOLO</t>
  </si>
  <si>
    <t>REFERENTE A CONSULTA SKYMARK Nº 3956061 - SOLICITAÇÃO JEAN - TICKET Nº 197534 - MOT. JAIDER HENRIQUE VASCONCELOS</t>
  </si>
  <si>
    <t>REFERENTE A CONSULTA SKYMARK Nº 3956082 - SOLICITAÇÃO JEAN - TICKT Nº 197535 - MOT. MARCIO VIDAL COELHO</t>
  </si>
  <si>
    <t>REFERENTE A CONSULTA OPENTECH  (CONJUNTO/MOT) - SOLICITAÇÃO DEBORA - TICKET Nº 197536 - MOT. CLAUDIO QUIRIBERTO DO NASCIMENTO</t>
  </si>
  <si>
    <t>REFERENTE A CONSULTA OPENTECH (CONJUNTO/MOT) - SOLICITAÇÃO DEBORA - TICKET Nº 197538 - MOT. ANTONIO MARCOS COLACO</t>
  </si>
  <si>
    <t>REFERENTE A CONSULTA SKYMARK Nº 3956203 - SOLICITAÇÃO ALESSANDRO - TICKET Nº 197541 - MOT. MICHAEL CAMPOS DE SOUSA</t>
  </si>
  <si>
    <t>REFERENTE A CONSULTA SKYMARK Nº 3956212 - SOLICITAÇÃO ALESSANDRO - TICKET Nº 197542 - MOT. HELVECIO ROBERTO LEITE</t>
  </si>
  <si>
    <t>REFERENTE A 3 CONSULTAS RASTER Nº 7543579 - SOLICITAÇÃO FERNANDA - TICKET Nº  197546 - MOT. GERMANO GIL DE MORAES</t>
  </si>
  <si>
    <t>REFERENTE A CONSULTA SKYMARK Nº 3956297 - SOLICITAÇÃO JEAN - TICKET Nº 197547 - MOT. IRAN CARDOSO MACIEL</t>
  </si>
  <si>
    <t>LEONARDO FRAGA DE ALMEIDA</t>
  </si>
  <si>
    <t>JBB5J69</t>
  </si>
  <si>
    <t>REFERENTE A 3 PESQUISAS EXPRESSAS RASTER COMBO Nº 7542849 - SOLICITAÇÃO DEBORA - TICKET Nº  197551 - MOT. LEONARDO FRAGA DE ALMEIDA</t>
  </si>
  <si>
    <t>REFERENTE A PESQUISA SKYMARK Nº 3956675 - SOLICITAÇÃO ALESSANDRO - TICKET Nº 197559 - MOT. HELVECIO ROBERTO LEITE</t>
  </si>
  <si>
    <t>REFERENTE A CONSULTA OPENTECH (CONJUNTO/MOT) - SOLICITÇÃO DEBORA - TICKET Nº 197560 - MOT. RODRIGO ANTONIO MAIOCHI</t>
  </si>
  <si>
    <t>REFERENTE A 3 CONSULTAS RASTER Nº 7545260 - SOLICITAÇÃO FERNANDA - TICKET Nº 197565 - MOT. REGIS DA ROCHA MUNIZ</t>
  </si>
  <si>
    <t>REFERENTE A PESQUISA SKYMARK Nº 3957051 - SOLICITAÇÃO ALESSANDRO - TICKET Nº 197566 - MOT. TIAGO MARCIO GUALBERTO</t>
  </si>
  <si>
    <t>REFERENTE A 2 CONSULTAS RASTER Nº 7545554 - SOLICITAÇÃO JOÃO PEDRO - TICKET Nº 197567 - MOT. LUIZ REINALDO BASQUERA</t>
  </si>
  <si>
    <t>GABRIEL OLIVEIRA DE SOUZA</t>
  </si>
  <si>
    <t>TQW3H47</t>
  </si>
  <si>
    <t>REF A UMA RDO DUAS PESQUISAS COMBO EXPRESSA 7544538 CAVALO TQW3H47MOT. GABRIEL OLIVEIRA DE SOUZA SOLIC. POR  DEBORA TICKET 197569 DIA 27-05-2026</t>
  </si>
  <si>
    <t>SIDNEI PASCOAL POFFO</t>
  </si>
  <si>
    <t>RYX1H57</t>
  </si>
  <si>
    <t>REF A UMA RDO TRES PESQUISAS COMBO EXPRESSA RASTER 7544400 CAVALO RYX1H57 MOT. SIDNEI PASCOAL POFFOSOLIC. POR DEBORA TICKET 197571 DIA 27/05/2026</t>
  </si>
  <si>
    <t>RONALDO CAVALCANTI BIZERRA</t>
  </si>
  <si>
    <t>DMC2D42</t>
  </si>
  <si>
    <t>REF A DUAS PESQUISAS COMBO EXPRESSA RASTER 7545729 CAVALO DMC2D42 MOT. RONALDO CAVALCANTI BIZERRA SOLIC. POR THALIA TICKET 197572 DIA 27/05/2026</t>
  </si>
  <si>
    <t>RENATO FERNANDES DA COSTA</t>
  </si>
  <si>
    <t>EKH6D84</t>
  </si>
  <si>
    <t>REFERENTE A 2 PESQUISAS EXPRESSAS COMBO RASTER Nº  7545925 - SOLICITAÇÃO DEBORA - TICKET Nº 197577 - MOT. RENATO FERNANDES DA COSTA</t>
  </si>
  <si>
    <t>FRANK BRUNO ALVES PATROCINIO</t>
  </si>
  <si>
    <t>NYD4B13</t>
  </si>
  <si>
    <t>REFERENTE A PESQUISA SKYMARK Nº 3957517 - SOLICIAÇÃO ALESSANDRO - TICKTE Nº 197578 - MOT. FRANK BRUNO ALVES PATROCINIO</t>
  </si>
  <si>
    <t>REFERENTE A 4 CONSULTAS RASTER Nº 7547281 - SOLICITAÇÃO UELDER - TICKET Nº 197587 - MOT. LEANDRO WALTER</t>
  </si>
  <si>
    <t>REFERENTE A 4 CONSULTAS RASTER Nº 7547323 - SOLICITAÇÃO UELDER - TICKET Nº 197588 - MOT. ANTONIO ASSIS CARVALHO</t>
  </si>
  <si>
    <t>RERF A TRÊS PESQUISAS COMBO NORMAL RASTER 7545584 CAVALO ORA1H25 MOT. WALISSON FERNANDES DE SA SOLIC. POR MATHEUS TICKET 197597 DIA 27/05/2026</t>
  </si>
  <si>
    <t>REF A UMA LIBERAÇÃO SKYMARK 3958480 CAVALO NZD5D15 MOT. WANDERSON PIRES DA SILVA SOLIC. POR ROBERTA TICKET 197600 DIA 27/05/2026</t>
  </si>
  <si>
    <t>REF A TRES CONSULTAS RASTER 7548901 CAVALO OOF0E73 MOT. LIVIOMAR RABELO FILHO SOLIC. POR FRANCISCO TICKET  197601 DIA 27/05/2026</t>
  </si>
  <si>
    <t>REFA A TRES CONSULTAS RASTER 7548932 CAVALO HRO9D01 MOT. EDUARDO NOVAES CORONI SOLIC. POR FRANCISCO TICKET 197602 DIA 27/05/2026</t>
  </si>
  <si>
    <t>LUCAS TADEU ALVES SANTOS</t>
  </si>
  <si>
    <t>EOF8E13</t>
  </si>
  <si>
    <t>REF A TRES PESQUISAS COMBO EXPRESSA RASTER 7549200 CAVALO EOF8E13 MOT. LUCAS TADEU ALVES SANTOS SOLIC. POR FRANCISCO TICKET 197608 DIA 27/05/2026</t>
  </si>
  <si>
    <t>REFERENTE A CONSULTA OPENTECH (CONJUNTO/MOT) - SOLICITAÇÃO DEBORA - TICKET Nº 197617 - MOT. CLAUDINEI ROBERTO ROCHA</t>
  </si>
  <si>
    <t>WILLIAN RABELO MOREIRA</t>
  </si>
  <si>
    <t>LYQ8C47</t>
  </si>
  <si>
    <t>REFERENTE A 3 PESQUISAS AVULSAS NORMAL RASTER Nº 7550709 - SOLICITAÇÃO KERILIN - TICKET Nº 197631 - MOT. WILLIAN RABELO MOREIRA</t>
  </si>
  <si>
    <t>REFERENTE A CONSULTA SKYMARK Nº 3959575 - SOLICITAÇÃO ALESSANDRO  - TICKET Nº 197636 - MOT. MARCOS RICARDO GONÇALVES</t>
  </si>
  <si>
    <t>REFERENTE A CONSULTA SKYMARK Nº 3959571 - SOLICITAÇÃO ALESSANDRO - TICKET Nº 197635 - MOT. Roberson Alves da Cruz</t>
  </si>
  <si>
    <t>REFERENTE A 3 CONSULTAS RASTER Nº 7551825 - SOLICITAÇÃO ISMAEL - TICKET Nº 197637 - MOT.CLEBER FELLIPE PERES LIMA</t>
  </si>
  <si>
    <t>REFERENTE A CONSULTA SKYMARK Nº 3959582 - SOLICITAÇÃO ALESSANDRO - TICKET Nº 197638 - MOT. GEORGE TORRES TEIXEIRA MOREIRA</t>
  </si>
  <si>
    <t>REFERENTE A CONSULTA OPENTECH (CONJUNTO/MOT) - SOLICITAÇÃO DEBORA - TICKET Nº 197647 - MOT MARCOS ADRIANO PENS</t>
  </si>
  <si>
    <t>MIZAEL ANSELMO MACIEL</t>
  </si>
  <si>
    <t>RXT0F55</t>
  </si>
  <si>
    <t>REFERENTE A CONSULTA OPENTECH (CONJUNTO/MOT) - SOLICITAÇÃO DEBORA - TICKET Nº 197654 - MOT. MIZAEL ANSELMO MACIEL</t>
  </si>
  <si>
    <t>REFERENTE A PESQUISA OPENTECH RDO (CONJUNTO/MOT) - SOLICITAÇÃO DEBORA - TICEKT Nº 197655 - MOT. MARCIO KLEINHEMPEL</t>
  </si>
  <si>
    <t>PAULO DA SILVA JUNIOR</t>
  </si>
  <si>
    <t>TPS6C29</t>
  </si>
  <si>
    <t>REFERENTE A PESQUISA OPENTECH RDO (CONJUNTO/MOT) - SOLICITAÇÃO DEBORA - TICKET Nº 197656 - MOT. PAULO DA SILVA JUNIOR</t>
  </si>
  <si>
    <t>REFERENTE A CONSULTA OPENTECH (CONJUNTO/MOT) - SOLICITAÇÃO DEBORA - TICKET Nº 197657 - MOT. JOAO AUGUSTINHO WALTER</t>
  </si>
  <si>
    <t>REFERENTE A PESQUISA SKYMARK Nº 3959806 - SOLICITAÇÃO ALESSANDRO - TICKET Nº 197662 - MOT. WARLEY PIRES DA SILVA</t>
  </si>
  <si>
    <t>REF A TRÊS LIBERAÇÃOES SKYMARK 3959998 CAVALO OWI9J80 MOT. MARCELO VIEIRA GONCALVES SOLIC. POR ALESSANDRO TICKET 197661 DIA 28/05/2026</t>
  </si>
  <si>
    <t>REF A UMA  RDO UMA PEQUISA OPENTECH CAVALO SXJ0A06 MOT. DAVI APARECIDO MONTEIRO SOLIC. POR DEBORA  TICKET 197663 DIA 28/05/2026</t>
  </si>
  <si>
    <t>REF A UMA LIBERAÇÃO SKYMARK 3959300 CAVALO EFO9B17 MOT . MIGUEL APARECIDO PEREIRA FILHO SOLIC. POR THAIS TICKET 197666 DIA 28/05/2026</t>
  </si>
  <si>
    <t>WALTER ADRIAN MONZON</t>
  </si>
  <si>
    <t>IGO3H06</t>
  </si>
  <si>
    <t>REFERENTE A 2 PESQUISAS NORMAL AVULSA RASTER Nº 7551627 - SOLICITAÇÃO KERILIN - TICKET Nº 197659 - MOT. WALTER ADRIAN MONZON</t>
  </si>
  <si>
    <t>REF A DUAS CONSULTAS RASTER 7553852 CAVALO UER4G70 MOT. LUIZ HENRIQUE TAVARES PASSOS SOLIC. POR VALDIR TICKET 197672 DIA 28/05/2026</t>
  </si>
  <si>
    <t>WELLINGTON EURIPES MOURA</t>
  </si>
  <si>
    <t>EGK9F70</t>
  </si>
  <si>
    <t>REFERENTE A 3 PESQUISAS EXPRESSAS COMBO RASTER Nº 7553516 - SOLICITAÇÃO FABAINA - TICKET Nº 197673 - MOT. WELLINGTON EURIPES MOURA</t>
  </si>
  <si>
    <t>REF A UMA RDOP UMA PESQUISA OPENTECH CAVALO SXP5E29 MOT. LUIS ANTONIO MENDES SANTOS SOLIC. POR DEBORA TICKET  197685 DIA 26/05/2026</t>
  </si>
  <si>
    <t>REFERENTE A CONSULTA SKYMARK Nº 3961066 - SOLICITAÇÃO VALNEI - TICKET Nº 197702 - MOT. GEOVANE MESQUITA FERREIRA</t>
  </si>
  <si>
    <t>REFERENTE A 2 CONSULTAS RASTER Nº 7555244 - SOLICITAÇÃO SANDRO - TICKET Nº 197701 - MOT. NILSON ROSA BOM</t>
  </si>
  <si>
    <t>REFERENTE A 2 CONSULTAS RASTER Nº 7555956 - SOLICITAÇÃO FRANCISCO - TICKET Nº 197706 - MOT. ALAN MONTEIRO ROSA</t>
  </si>
  <si>
    <t>LAURO LEANDRO CALCABONE DA SILVA</t>
  </si>
  <si>
    <t>TQO2F45</t>
  </si>
  <si>
    <t>REF A UMA RDO DUAS PESQUISAS COMBO NORMAL RASTER 7552663 CAVALO TQO2F45 MOT. LAURO LEANDRO CALCABONE DA SILVA SOLIC. POR MARCELLI TICKET 197708 DIA 28/05/2026</t>
  </si>
  <si>
    <t>FELIPPE MARQUES BARBOSA</t>
  </si>
  <si>
    <t>JCT4C00</t>
  </si>
  <si>
    <t>REF A TRES PESQUISAS COMBO NORMAL RASTER 7552716 CAVALO JCT4C00 MOT. FELIPPE MARQUES BARBOSA SOLIC. POR MARCELLI  TICKET  197712 DIA 28/04/2026</t>
  </si>
  <si>
    <t>WELLINGTON CORREA DA SILVA</t>
  </si>
  <si>
    <t>KCJ3J59</t>
  </si>
  <si>
    <t>REF A TRES POESQUISAS COMBO EXPRESSA RASTER 7552979 CAVALO KCJ3J59 MOT. WELLINGTON CORREA DA SILVASOLIC. POR FRANCISCO TICKET 197715 DIA 28/05/2026</t>
  </si>
  <si>
    <t>MOACIR DONIZETTI CAMARGO</t>
  </si>
  <si>
    <t>CPG3D67</t>
  </si>
  <si>
    <t>REF A  DUAS PESQUISAS COMBO EXPRESSA RASTER 7556589 CAVALO  CPG3D67 MOT. MOACIR DONIZETTI CAMARGO SOLIC NICOLLI TICKET 197724 DIA 28/05/2026</t>
  </si>
  <si>
    <t>CLEBIS VIDAL DE SOUZA</t>
  </si>
  <si>
    <t>REFERENTE A 2 EXPRESSAS COMBO 1 RDO RASTER Nº 7554755 - SOLICITAÇÃO DEBORA - TICKET Nº  197733 - MOT. CLEBIS VIDAL DE SOUZA</t>
  </si>
  <si>
    <t>REFERENTE A CONSULTA OPENTECH (CONJUNTO/MOT) - SOLICITAÇÃO DEBORA - TICKET Nº  197736 - MOT. ADELFON DA SILVA</t>
  </si>
  <si>
    <t>REFERENTE A 2 CONSULTAS RASTER Nº  7557794 - SOLICITAÇÃO JOÃO PEDRO - TICKET Nº 197737 - MOT. JOSE EURIMAR CARNEIRO</t>
  </si>
  <si>
    <t>REFERENTE A 3 CONSULTAS RASTER Nº 7558099 - SOLICITAÇÃO DEBORA - TICKET Nº 197738 - MOT. GABRIEL OLIVEIRA DE SOUZA</t>
  </si>
  <si>
    <t>REFERENTE A 3 CONSULTAS RASTER Nº 7558263 - SOLICITAÇÃO DEBORA - TICKET Nº 197741 - MOT. LEOMAR RAUPP CARDOSO</t>
  </si>
  <si>
    <t>REFERENTE A PESQUISA SKYMARK Nº 3923764 - SOLICITAÇÃO ROBERTA - TICKET Nº 197743 - MOT. WALISSON FERNANDES DE SA</t>
  </si>
  <si>
    <t>ANTONIO VALENTIM RIBEIRO</t>
  </si>
  <si>
    <t>BUS6227</t>
  </si>
  <si>
    <t>REFERENTE A 2 CONSULTAS RASSTER Nº 7558606 - SOLICITAÇÃO JOÃO PEDRO - TICKET Nº 197744 - MOT. ANTONIO VALENTIM RIBEIRO</t>
  </si>
  <si>
    <t>REFERENTE A 3 PESQUISAS EXPRESSAS COMBO RASTER Nº 7558327 - SOLICITAÇÃO DEBORA - TICKET Nº 197745 - MOT. FABIO FEIJO</t>
  </si>
  <si>
    <t>REFERENTE A CONSULTA SKYMARK Nº 3962660 - SOLICITAÇÃO THAIS - TICKET Nº 197751 - MOT. EDSON DOMICIANO DE MOURA</t>
  </si>
  <si>
    <t>REFERENTE A 3 CONSULTAS RASTER Nº 7553136 - SOLICITAÇÃO THAIS - TICKET Nº 197752 - MOT. EDSON DOMICIANO DE MOURA</t>
  </si>
  <si>
    <t>REFERENTE A CONSULTA SKYMARK Nº 3962848 - SOLICITAÇÃO THAIS - TICKET Nº 197754 - MOT. CESAR AUGUSTO SCAPIN MALLMANN</t>
  </si>
  <si>
    <t>REFERENTE A 3 PESQUISAS NORMAL AVULSA RASTER Nº 7553088 - SOLICITAÇÃO THAIS  - TICKET Nº 197756 - MOT. CESAR AUGUSTO SCAPIN MALLMANN</t>
  </si>
  <si>
    <t>FABRICIO ASSIS DA SILVA</t>
  </si>
  <si>
    <t>MMA7A44</t>
  </si>
  <si>
    <t>REFERENTE A 2 PESQUISAS NORMAL AVULSA 1 RDO RASTER Nº 7552471 - SOLICITAÇÃO THAIS - TICKET Nº 197759 MOT. FABRICIO ASSIS DA SILVA</t>
  </si>
  <si>
    <t>REFERENTE A CONSULTA SKYMARK Nº 3962979 - SOLICITAÇÃO THAIS - TICKET Nº 197760 - MOT. FABRICIO ASSIS DA SILVA</t>
  </si>
  <si>
    <t>REFERENTE A CONSULTA SKYMARK Nº 3963098 - SOLICITAÇÃO ROBERTA - TICKET Nº 197765 - MOT. ADENILSON BARROS DE OLIVEIRA</t>
  </si>
  <si>
    <t>REFERENTE A CONSULTA SKYMARK Nº 3963108 - SOLICITAÇÃO ROBERTA - TICKET Nº 197766 - MOT. PEDRO EMANUEL DAMASCENO GOMES SILVA</t>
  </si>
  <si>
    <t>REFERENTE A CONSULTA SKYMARK Nº 3963162 - SOLICITAÇÃO THAIS - TICKET Nº 197767 - MOT. LUIZ ANTONIO DE ANDRADE</t>
  </si>
  <si>
    <t>REFERENTE A 3 CONSULTAS RASTER Nº 7559018 - SOLICITAÇÃO THAIS - TICKET Nº 197768 - MOT. LUIZ ANTONIO DE ANDRADE</t>
  </si>
  <si>
    <t>RODRIGO DORNELES DA SILVA</t>
  </si>
  <si>
    <t>TQP1G31</t>
  </si>
  <si>
    <t>REFERENTE A 2 PESQUISAS NORMAL AVULSA 1 RDO RASTER Nº 7552298 - SOLICITAÇÃO THAIS - TICKET Nº  197770 - MOT. RODRIGO DORNELES DA SILVA</t>
  </si>
  <si>
    <t>ROBSON ANACLETO JOSEFINO</t>
  </si>
  <si>
    <t>RYW5C65</t>
  </si>
  <si>
    <t>REFERENTE A 2 PESQUISAS EXPRESSAS COMBO 1 RDO RASTER Nº 7552298 - SOLICITAÇÃO DEBORA - TICKET Nº 197771 - MOT.  RODRIGO DORNELES DA SILVA</t>
  </si>
  <si>
    <t>ROBERTH PEREIRA CAMARGO</t>
  </si>
  <si>
    <t>SXJ4F98</t>
  </si>
  <si>
    <t>REFERENTE A 3 PESQUISAS EXPRESSAS COMBO 1 RDO RASTER Nº 7558004 - SOLICITAÇÃO DEBORA - TICKET Nº 197772 - MOT. ROBERTH PEREIRA CAMARGO</t>
  </si>
  <si>
    <t>REFERENTE A CONSULTA SKYMARK Nº 3963210 - SOLICITAÇÃO THAIS - TICKET Nº 197773 - MOT. RODRIGO DORNELES DA SILVA</t>
  </si>
  <si>
    <t>DANIEL BARBOSA MOREIRA</t>
  </si>
  <si>
    <t>EJV7C46</t>
  </si>
  <si>
    <t>REFERENTE A 2 PESQUISAS NORMAL COMBO 1 RDO RASTER Nº 7547718 - SOLICITAÇÃO GABRIELA - TICKET Nº 197778 - MOT. DANIEL BARBOSA MOREIRA</t>
  </si>
  <si>
    <t>OSCAR DAVID GARMENDIA CORREA</t>
  </si>
  <si>
    <t>ICY4923</t>
  </si>
  <si>
    <t>REF. A DUAS PESQ. AVULSA NORMAL RASTER 7560294 - CAVALO ICY4923 - MOT. OSCAR DAVID GARMENDIA CORREA - SOLIC. POR Kelirin Cardoso Gomes - TICKET  197781 - DIA 29-05-26</t>
  </si>
  <si>
    <t>PXQ1F45</t>
  </si>
  <si>
    <t>14.03</t>
  </si>
  <si>
    <t>REF. A DOIS ITENS PESQ. COMBO NORMAL RASTER  7556676 - CAVALO PXQ1F45 - MOT. JOSE ARISTIDES GIANELLI - SOLIC. POR Christian da Silva Fonseca  - TICKET 197782 - DIA 26-05-26</t>
  </si>
  <si>
    <t>REF. A DUAS CONSULTAS RASTER 7561141 - CAVALO DMC2D42 - MOT. RONALDO CAVALCANTI BIZERRA - SOLIC. POR Christian da Silva Fonseca - TICKET 197784 - DIA 29-05-26</t>
  </si>
  <si>
    <t>ROMARIO GOLFETTO</t>
  </si>
  <si>
    <t>UBS0D59</t>
  </si>
  <si>
    <t>REFERENTE A 2 CONSULTA E 1PESQUISA NORMAL AVULSA RASTER Nº 7557085 - SOLICITAÇÃO MONICK - TICKET Nº 197788 - MOT. ROMARIO GOLFETTO</t>
  </si>
  <si>
    <t>REFERENTE A CONSULTA SKYMARK Nº 3963690 - SOLICITAÇÃO CLAUDIO - TICKET Nº 197789 - MOT. MARCELO SCARAVELLI</t>
  </si>
  <si>
    <t>LEANDRO MERCE ARDAIS</t>
  </si>
  <si>
    <t>IGV0629</t>
  </si>
  <si>
    <t>08.03</t>
  </si>
  <si>
    <t>REF. A DUAS PESQUISAS NORMAL RASTER 7561874 CAVALO IGV0629 MOT. LEANDRO MERCE ARDAIS SOLIC. POR  KELIRIN TICKET 197800 DIA 29/05/2026</t>
  </si>
  <si>
    <t>PABLO CESAR MONZON</t>
  </si>
  <si>
    <t>IHE9709</t>
  </si>
  <si>
    <t>REF A DUAS PESQUISAS NORMAL RASTER 7562924 CAVALO IHE9709 MOT. PABLO CESAR MONZON SOLI. POR KELIRIN TICKET 197801 DIA 29/05/2026</t>
  </si>
  <si>
    <t>JARDEL FERNANDO MINGOTE</t>
  </si>
  <si>
    <t>SYI5E34</t>
  </si>
  <si>
    <t>REF A PESQUISA OPENTECH, TICKET 197804 - MOT JARDEL FERNANDO MINGOTE</t>
  </si>
  <si>
    <t>GIOVANNI LUIZ TOBIAS</t>
  </si>
  <si>
    <t>REF A 2 PESQUISAS COMBO EXPRESSA RASTER 7565208 + CONSULTA 7565238 SOLIC P DANIEL, TICKET 197806</t>
  </si>
  <si>
    <t>REF A 2 CONSULTA SKYMARK 3965587 SOLIC P ROBERTA, TICKET 197824</t>
  </si>
  <si>
    <t>REF A 3 PESQUISAS + 1 CONSULTA SKYMARK 3964915, SOLIC P ROBERTA, TICKET 197826</t>
  </si>
  <si>
    <t>REF  2 COSNULTAS RASTER 7567289, SOLIC P JOAO, TICKET 197831</t>
  </si>
  <si>
    <t>REF A CONS SKYMARK 3965586 SOLIC P ROBERTA, TICKET 197834</t>
  </si>
  <si>
    <t>ELIVELTON BARBOSA CARDOZO</t>
  </si>
  <si>
    <t>RXY3E83</t>
  </si>
  <si>
    <t>REFERENTE A 2 PESQUISA EXPRESSA 1 RDO RASTER Nº 7561596 - SOLICITAÇÃO DEBORA - TICKET Nº 197835 - MOT. ELIVELTON BARBOSA CARDOZO</t>
  </si>
  <si>
    <t>REFERENTE A CONSULTA OPENTECH (CONJUNTO/MOT) - SOLICITAÇÃO DEBORA - TICKET Nº 197836 - MOT. CLAUDINEI ROBERTO ROCHA</t>
  </si>
  <si>
    <t>REFERENTE A 3 CONSULTAS RASTER Nº 7568817 - SOLICITAÇÃO DEBORA - TICKET Nº 197839 -MILTON EDUARDO PADILHA</t>
  </si>
  <si>
    <t>REFERENTE A 3 CONSULTAS RASTER Nº 7568901 - SOLICITAÇÃO DEBORA - TICKET Nº 197840 - MOT. TABAJARA PEREIRA JACOBY</t>
  </si>
  <si>
    <t>REFERENTE A 3  CONSULTAS RASTER Nº 7568970 - SOLICITAÇÃO DEBORA - TICEKT Nº 197841 - MOT. RODRIGO LIMA SOUZA</t>
  </si>
  <si>
    <t>REFERENTE A CONSULTA OPENTECH (CONJUNTO/MOT) - SOLICITAÇÃO DEBORA - TICKET Nº 197844 - MOT. ANTONIO MARCOS COLACO</t>
  </si>
  <si>
    <t>REFERENTE A 2 CONSULTAS RASTER Nº 7569217 - SOLICITAÇÃO WILLIAN - TICKET Nº 197845 - MOT. MOACIR DONIZETTI CAMARGO</t>
  </si>
  <si>
    <t>REFERENTE A CONSULTA OPENTECH (CONJUNTO/MOT) - SOLICITAÇÃO DEBORA - TICKET Nº 197846 - MOT. EDUARDO JOSE DA SILVA</t>
  </si>
  <si>
    <t>REFERENTE A CONSULTA OPENTECH (CONJUNTO/MOT) - SOLICITAÇÃO DEBORA - TICKET Nº 197849 - MOT. EDSON SILVA</t>
  </si>
  <si>
    <t>REFERENTE A CONSULTA OPENTECH (CONJUNTO/MOT) - SOLICITAÇÃO DEBORA - TICKET Nº 197847 - MOT. MANOEL RODRIGUES DA SILVA</t>
  </si>
  <si>
    <t>REFERENTE A 4 CONSULTAS RASTER Nº 7569588 - SOLICITAÇÃO DEBORA - TICKET Nº 197851 - MOT. SIDNEI PASCOAL POFFO</t>
  </si>
  <si>
    <t>JOSMAR PEREIRA DA SILVA</t>
  </si>
  <si>
    <t>RYS5E01</t>
  </si>
  <si>
    <t>REFERENTE A 3 PESQUISAS EXPRESSAS RASTER Nº 7569747 - SOLICITAÇÃO DEBORA - TICKET Nº 197852 - MOT. JOSMAR PEREIRA DA SILVA</t>
  </si>
  <si>
    <t>ELDER MULLER DA SILVA</t>
  </si>
  <si>
    <t>ADV9302</t>
  </si>
  <si>
    <t>REFERENTE A 1 PESQUISA NORMAL 1 CONSULTA 1 RDO RASTER Nº 7565788 - SOLICITAÇÃO GABRIELA  - TICKET Nº 197853 - MOT. ELDER MULLER DA SILVA</t>
  </si>
  <si>
    <t>REFERENTE A 3 PESQUISAS EXPRESSAS COMBO RASTER Nº 7569002 - SOLICITAÇÃO DEBORA - TICKET Nº 197855 - MOT. PEDRO MAGNUS DE BARROS</t>
  </si>
  <si>
    <t>REFERENTE A 3 CONSULTAS RASTER Nº 7570074 - SOLICITAÇÃO ISMAEL - TICKET Nº 197856 - MOT. TIAGO DE LIMA DA SILVAB</t>
  </si>
  <si>
    <t>REFERENTE A CONSULTA SKYMARK Nº 3966925 - SOLICITAÇÃO MATHEUS - TICKET Nº 197862 - MOT. PAULO SERGIO ALVES CUNHA</t>
  </si>
  <si>
    <t>JEFFERSON GANDOLFI</t>
  </si>
  <si>
    <t>DEI3J95</t>
  </si>
  <si>
    <t>REFERENTE A CONSULTA OPENTECH (CONJUNTO/MOT) - SOLICITAÇÃO DEBORA - TICKET Nº 197864 - MOT. JEFFERSON GANDOLFI</t>
  </si>
  <si>
    <t>REFERENTE A CONSULTA OPENTECH (CONJUNTO/MOT) - SOLICITAÇÃO DEBORA - TICKET Nº 197868 - MOT. MARCOS ROBERTO BILATTO</t>
  </si>
  <si>
    <t>REFERENTE A CONSULTA SKYMARK Nº 3967189 - SOLICITAÇÃO THAIS - TICKET Nº  197874 - MOT. EDEMILSON EDSON GARCIA</t>
  </si>
  <si>
    <t>REFERENTE A CONSULTA SKYMARK Nº  3967201 - SOLICITAÇÃO THAIS - TICKET Nº 197875 - MOT. MIGUEL APARECIDO PEREIRA FILHO</t>
  </si>
  <si>
    <t>REF. A TRÊS CONSULTAS RASTER 7571091 - CAVALO IGQ2977 - MOT. NILSON ROSA BOM - SOLIC. POR Sandro Barragana Martinez - TICKET 197887 - DIA 01-06-26</t>
  </si>
  <si>
    <t>GILMAR DIAS RAMOS</t>
  </si>
  <si>
    <t>IEG0G18</t>
  </si>
  <si>
    <t>REF. A TRÊS CONSULTAS + RDO RASTER 7571862 - CAVALO IEG0G18 - MOT. GILMAR DIAS RAMOS - SOLIC. POR Sandro Barragana Martinez - TICKET 197888 - DIA 01/06/26</t>
  </si>
  <si>
    <t>REF. A LIB OPETENCH - CAVALO BWT8068- MOT. MARCELO SANTOS GERMANO - SOLIC. POR  Debora Morgado - TICKET 197890 - DIA 01/06/26</t>
  </si>
  <si>
    <t>REF. A LIB OPETENCH - CAVALO OLV7F75 - MOT. EDUARDO JESUS TOMAZINHO  - SOLIC. POR  Debora Morgado - TICKET 197891 - DIA 01/06/26</t>
  </si>
  <si>
    <t>REF. A TRES CONSULTAS RASTER 7572316 CAVALO ESU9C30 MOT. GENOILTON VENANCIO DE OLIVEIRA SOLIC. POR DEBORA TICKET  197893 DIA 01/06/2026</t>
  </si>
  <si>
    <t>HENRIQUE APARECIDO BERGAMASCO</t>
  </si>
  <si>
    <t>REF A UMA RDO DUAS PESQUISAS COMBO EXPRESSA RASTER 7571171 CAVALO BWT2D98 MOT. HENRIQUE APARECIDO BERGAMASCO SOLIC. POR DEBORA TICKET 197895 DIA 01/06/2026</t>
  </si>
  <si>
    <t>REFA UMA RDO PESQUISA OPENTECH CAVALO BWT2D98 MOT. HENRIQUE APARECIDO BERGAMASCO SOLIC. POR DEBORA TICKET 197895 DIA 01/06/2026</t>
  </si>
  <si>
    <t>REFERENTE A CONSULTA SKYMARK Nº 3967741 - SOLICITAÇÃO MATHEUS - TICKET Nº  1978987 - MOT. WEMERSON GUSTAVO MATOZO</t>
  </si>
  <si>
    <t>REFERENTE A 3 PESQUISA EXPRESSA NORMAL RASTER Nº 7572656 - SOLICITAÇÃO DEBORA - TICKET Nº 197904 - MOT. RUDSON BUENO CARDOSO</t>
  </si>
  <si>
    <t>NELSON EMILIO SCHNEIDER</t>
  </si>
  <si>
    <t>IEY1J15</t>
  </si>
  <si>
    <t>REFERENTE A 1 PESQUISA NORMAL AVULSA RASTER Nº 7570073 - SOLICITAÇÃO GABRIELA - TICKET Nº 197906 - MOT. NELSON EMILIO SCHNEIDER</t>
  </si>
  <si>
    <t>REFERENTE A CONSULA SKYMARK Nº 3968028 - SOLICITAÇÃO ALESSANDRO - TICKET 197909 - MOT. MARCOS GERALDO DE SOUZA SOLIC. POR VALNEI TICKET 197912 DIA 01/06/2026</t>
  </si>
  <si>
    <t>REF A UMA CONSULTA SKYMARK 3968071 CAVALO QUL2I33 MOT. SEBASTIAO DA CRUZ MARQUES SOLIC. POR ALESSANDRO TICKET 197917 DIA 01/06/2026</t>
  </si>
  <si>
    <t>REFERENTE A CONSULTA OPENTECH (CONJUNTO/MOT) - SOLICITAÇÃO DEBORA - TICKET Nº 197916 - MOT MATHEUS NOGUEIRA DA SILVA</t>
  </si>
  <si>
    <t>JEAN FELIPE DOS SANTOS</t>
  </si>
  <si>
    <t>IVK9G75</t>
  </si>
  <si>
    <t>REF A UMA CONSULTA SKYMARK 3967940 CAVALO IVK9G75 MOT. JEAN FELIPE DOS SANTOS SOLIC. POR VALNEI TICKET 197910 DIA 01/06/2026</t>
  </si>
  <si>
    <t>GENECI VIEIRA</t>
  </si>
  <si>
    <t>TDD9B26</t>
  </si>
  <si>
    <t>REFERENTE A PESQUISAS SKYMARK Nº 3968029 - SOLICITAÇÃO VALNEI - TICKET Nº 197913 - MOT. GENECI VIEIRA</t>
  </si>
  <si>
    <t xml:space="preserve">REF A UMA CONSULTA SKYMARK 3967998 CAVALO JCT8I15 MOT. ISAC RABELO BITTENCOURT SOLIC. POR </t>
  </si>
  <si>
    <t>WAGNER DE BARROS</t>
  </si>
  <si>
    <t>NVQ0E10</t>
  </si>
  <si>
    <t>REF A UMA RDO UMA PESQUISA OPENTECH CAVALO NVQ0E10 MOT. WAGNER DE BARROS SOLIC. POR DEBORA TICKET 197920 DIA 01/06/2026</t>
  </si>
  <si>
    <t>ELEANDRO AMARAL FERNANDES</t>
  </si>
  <si>
    <t>JBY1J97</t>
  </si>
  <si>
    <t>REF A TRES PESQUISAS COMBO EXPRESSA RASTER 7573433 CAVALO JBY1J97MOT. ELEANDRO AMARAL FERNANDESSOLIC. POR DEBORA TICKET 197921 DIA 01/06/2026</t>
  </si>
  <si>
    <t>REFERENTE A CONSULTA OPENTECH (CONJUNTO/MOT) - SOLICITAÇÃO DEBORA - TICKET Nº 197923 - MOT. RAFAEL FONTINELE FROTA</t>
  </si>
  <si>
    <t>SERGIO IANECH</t>
  </si>
  <si>
    <t>RYW4G88</t>
  </si>
  <si>
    <t>REF A TRES POESQUISAS COMBO EXPRESSA RASTER 7570420 CAVALO RYW4G88 MOT. SERGIO IANECH SOLIC. POR DEBORA TICKET 197927 DIA 01/06/2026</t>
  </si>
  <si>
    <t>REF A UMA CONSULTA SKYMARK 3968372 CAVALO SHP8F13 MOT. ELOIZIO BARROS DE OLIVEIRA SOLIC. POR VALNEI TICKET  197936 DIA 01/06/2026</t>
  </si>
  <si>
    <t>SILVIO MARTINELLI</t>
  </si>
  <si>
    <t>DTB9B29</t>
  </si>
  <si>
    <t>REF A UMA RDO DAS PESQUISAS COMBO NORMAL RASTER 7570449CAVALO DTB9B29MOT. SILVIO MARTINELLI SOLIC. POR MARCELLI TICKET 197937 DIA 01/06/2026</t>
  </si>
  <si>
    <t>JOAO AGAPITO PAIRET CHAGAS</t>
  </si>
  <si>
    <t>IRD7I01</t>
  </si>
  <si>
    <t>REF A TRES PESQUISAS COMBO EXPRESSA RASTER 7567586 CAVALO IRD7I01 MOT. JOAO AGAPITO PAIRET CHAGAS SOLIC. POR FRANSCISCO TICKET 197908 DEIA 01-06-2026</t>
  </si>
  <si>
    <t xml:space="preserve">06.02 </t>
  </si>
  <si>
    <t>REF A UMA LIBERAÇÃO AUTONOMA SKYMARK 3969069 CAVALO  HMV4C65 MOT. ANTONIO JULIO DE OLIVEIRA SOLIC. POR CRISLAINE TICKET 197954 DIA 01/06/2026</t>
  </si>
  <si>
    <t>REFERENTE A 3 CONSULTAS RASTER Nº 7568670 - SOLICITAÇÃO SANDRO - TICKET Nº 197959 - MOT. HEBER RODRIGUEZ MUNIZ</t>
  </si>
  <si>
    <t>VALDEMAR LUCAS ALVES LIMA</t>
  </si>
  <si>
    <t>FTA7A98</t>
  </si>
  <si>
    <t>REFERENTE A 2 CONSULTAS RASTER Nº 7576275 - SOLICITAÇÃO FABIANA - TICKET Nº 197956 - MOT. VALDEMAR LUCAS ALVES LIMA</t>
  </si>
  <si>
    <t>DARWIN EDUARDO PINTOS VIERA JUNIIOR</t>
  </si>
  <si>
    <t>AJS3G45</t>
  </si>
  <si>
    <t>REFERENTE A 2 PESQUISAS NORMAL COMBO 1 RDO RASTER Nº 75722220 - TICKET Nº 197963 - MOT. DARWIN EDUARDO PINTOS VIERA JUNIIOR</t>
  </si>
  <si>
    <t>JOSE APARECIDO WANDERLEI CAVALCANTE</t>
  </si>
  <si>
    <t>HKH7734</t>
  </si>
  <si>
    <t>REFERENTE A 2 PESQUISAS EXPRESSA COMBO RASTER Nº 7574113 - SOLICITAÇÇÃO VALMIR - TICKET Nº 197964 - MOT. JOSE APARECIDO WANDERLEI CAVALCANTE</t>
  </si>
  <si>
    <t>REFERENTE A 2 CONSULTAS RASTER Nº 7576843 - SOLICITAÇÃO LORIS - TICKET Nº 197965 - MOT. JOSAETE BARROS DE OLIVEIRA</t>
  </si>
  <si>
    <t>REFERENTE A 3 CONSULTAS RASTER Nº 7577344 - SOLICITAÇÃO DEBORA - TICKET Nº 197971 - MOT. DAVI MACHADO DA SILVA</t>
  </si>
  <si>
    <t>REFERENTE A CONSULTA SKYMARK Nº 3969748 - SOLICITAÇÃO THAIS - TICKET Nº 197974 - MOT. WALDEMAR BRAILA</t>
  </si>
  <si>
    <t>JOSE VINICIUS ALBERTO JERONIMO DOS SANTOS</t>
  </si>
  <si>
    <t>KLV0I88</t>
  </si>
  <si>
    <t>04.26</t>
  </si>
  <si>
    <t>REFERENTE A 2 PESQUISAS COMBO NORMAL RASTER Nº  7576685 - SOLICITAÇÃO GUSTAVO - TICKET Nº 197977 - MOT. JOSE VINICIUS ALBERTO JERONIMO DOS SANTOS</t>
  </si>
  <si>
    <t>REFERENTE A CONSULTA OPENTECH (CONJUNTO/MOT) - SOLICITAÇÃO DEBORA - TICKET Nº 197979 - MOT. CELIO FERREIRA GOMES</t>
  </si>
  <si>
    <t>DARLAN RIBEIRO DE BARROS</t>
  </si>
  <si>
    <t>REFERENTE A 3 PESQUISAS EXPRESSAS COMBO RASTER Nº 7577393 - SOLICITAÇÃO DEBORA - TICKET Nº 197975 - MOT. DARLAN RIBEIRO DE BARROS</t>
  </si>
  <si>
    <t>REFERENTE A 3 CONSULTAS RASTER Nº 7578103 - SOLICITAÇAO DEBORA - TICKET Nº 197982 - MOT. YURI SCHWARTZHAUPT DE SOUZA DA SILVA</t>
  </si>
  <si>
    <t>REFERENTE A 3 PESQUISAS EXPRESSAS COMBO RASTER Nº 7577651 - SOLICITAÇAO DEBORA - TICKET Nº 197983 - MOT. CRISTIANO JEAN JORDAO</t>
  </si>
  <si>
    <t>MIJ0H63</t>
  </si>
  <si>
    <t>REFERENTE A 3 PESQUISAS EXPRESSAS COMBO RASTER Nº 7577903  - SOLICITAÇAO DEBORA - TICKET Nº 197984  - MOT.  ELIZANDRO DE FRAGA  BREHM</t>
  </si>
  <si>
    <t>EMERSON BATISTA HERMANN DA SILVEIRA</t>
  </si>
  <si>
    <t>IZO1C97</t>
  </si>
  <si>
    <t>REFERENTE A 2 PESQUISAS EXPRESSA COMBO 1 RDO RASTER Nº 7576790 - SOLICITAÇÃO DEBORA - TICKET Nº 197986 - MOT. EMERSON BATISTA HERMANN DA SILVEIRA</t>
  </si>
  <si>
    <t>ADILSON CARLOS WALTRICK</t>
  </si>
  <si>
    <t>PJJ1J02</t>
  </si>
  <si>
    <t>REFERENTE A 2 PESQUISAS EXPRESSA COMBO 1 RDO RASTER Nº 7576854  - SOLICITAÇÃO DEBORA - TICKET Nº 197987 - MOT. ADILSON CARLOS WALTRICK</t>
  </si>
  <si>
    <t>REFERENTE A 2 PESQUISAS EXPRESSSAS COMBO RASTER Nº 7545729 - SOLICITAÇÃO VALMIR - TICKET Nº 197985 - MOT. RONALDO CAVALCANTI BIZERRA</t>
  </si>
  <si>
    <t>EDSON LUIS NUNES DA SILVA</t>
  </si>
  <si>
    <t>JCC0F40</t>
  </si>
  <si>
    <t>REFERENTE A 3 PESQUISAS EXPRESSAS COMBO RASTER Nº 7576695 - SOLICITAÇÃO DEBORA - TICKET Nº 197988 - MOT. EDSON LUIS NUNES DA SILVA</t>
  </si>
  <si>
    <t>ADAO VALERIO PEREIRA MACHADO</t>
  </si>
  <si>
    <t>JCJ1F60</t>
  </si>
  <si>
    <t>REFERENTE A 3 PESQUISAS EXPRESSAS COMBO RASTER Nº 7578180 - SOLICITAÇÃO DEBORA - TICKET Nº 197989 - MOT. ADAO VALERIO PEREIRA MACHADO</t>
  </si>
  <si>
    <t>GUSTAVO RABELO MOREIRA</t>
  </si>
  <si>
    <t>IHI0B84</t>
  </si>
  <si>
    <t>REF A TRES PESQUISA AVULSA NORMAL RASTER 7578968 CAVALO IHI0B84 MOT. GUSTAVO RABELO MOREIRA SOLIC. POR KELIRIN TICKET 197997DIA 02/06/2026</t>
  </si>
  <si>
    <t>SILMARIO VITORINO DE ALMEIDA</t>
  </si>
  <si>
    <t>OPB3B51</t>
  </si>
  <si>
    <t>REF. A UMA RDO DUAS PESQUISAS AVUSA NORMAL RASTER 7574684 CAVALO OPB3B51 MOT. SILMARIO VITORINO DE ALMEIDA SOLIC. POR MATHEUS TICKET 197998 DIA 02/06/2026</t>
  </si>
  <si>
    <t>REF A TRES PESQUISAS RASTER 7579788 CAVALO MJG3J20 MOT. LUIZ CARLOS CARDOSO DA CUNHA SOLIC. POR DEBORA TICKET  198000 DIA 02/06/2026</t>
  </si>
  <si>
    <t>REFERENTE A CONSULTA OPENTECH (CONJUNTOP/MOT) - SOLICITAÇÃO DEBORA - TICKET Nº 198002 - MOT. JURACI ANTONIO FERREIRA DE SOUZA</t>
  </si>
  <si>
    <t>GERALDO ROSA FILHO</t>
  </si>
  <si>
    <t>OQN8A69</t>
  </si>
  <si>
    <t>REF A  QUATRO PESQUISAS SKYMARK 3971189 CAVALO OQN8A69 MOT. GERALDO ROSA FILHO SOLIC. POR MAURICIO TICKET 198007 DIA 02/06/2026</t>
  </si>
  <si>
    <t>ANDERSON VINICIO GERHARD</t>
  </si>
  <si>
    <t>JBH2H16</t>
  </si>
  <si>
    <t>REF. A UMA RDO DUAS PESQUISAS COMBO EXPRESSA RASTER 7579585 CAVALO JBH2H16 MOT. ANDERSON VINICIO GERHARD SOLIC. POR DEBORA TICKET  198009 DIA 02/06/2026</t>
  </si>
  <si>
    <t>CLAUDIO ROBERTO TERCIOTTI</t>
  </si>
  <si>
    <t>BWK2A00</t>
  </si>
  <si>
    <t>REFERENTE A PESQUISA RDO OPENTECH (CONJUNTOP/MOT) - SOLICITAÇÃO DEBORA - TICKET Nº 198013 - MOT. CLAUDIO ROBERTO TERCIOTTI</t>
  </si>
  <si>
    <t>BRUNO CARDOSO DOS SANTOS</t>
  </si>
  <si>
    <t>IZJ4H52</t>
  </si>
  <si>
    <t>REFERENTE A 2 PESQUISAS EXPRESSAS COMBO 1 RDO RASTER Nº 7580048 - SOLICITAÇÃO DEBORA - TICKET Nº 198014 - MOT. BRUNO CARDOSO DOS SANTOS</t>
  </si>
  <si>
    <t>MARIO JOSE DE MORAES DELFINO</t>
  </si>
  <si>
    <t>ISX1D56</t>
  </si>
  <si>
    <t>REFERENTE A CONSULTA OPENTECH (CONJUNTOP/MOT) - SOLICITAÇÃO DEBORA - TICKET Nº 198016 - MOT. MARIO JOSE DE MORAES DELFINO</t>
  </si>
  <si>
    <t>EDERSON DE OLIVEIRA SILVEIRA</t>
  </si>
  <si>
    <t>RKW6J23</t>
  </si>
  <si>
    <t>REF A UMA RDO DUAS PESQUISAS COMBO EXPRESSA RASTER 7580221CAVALO RKW6J23 MOT. EDERSON DE OLIVEIRA SILVEIRA SOLIC. POR DEBORA TICKET 198015 DIA 02/06/2026</t>
  </si>
  <si>
    <t>REF A TRES CONSULTAS RASTER 7581855 CAVALO JCB0J35 MOT. PEDRO MAGNUS DE BARROS  SOLIC. POR  GABRIEL TICKET 198022  DIA 02/06/2026</t>
  </si>
  <si>
    <t>DOMINGOS ANTONIO FONTANA</t>
  </si>
  <si>
    <t>MSZ5F09</t>
  </si>
  <si>
    <t>REF A TRES CONSULTAS RASTER 7581586 CAVALO MSZ5F09 MOT. DOMINGOS ANTONIO FONTANA SOLIC. POR FRANCISCO TICKET 198025 DIA 02/06/2026</t>
  </si>
  <si>
    <t>LCZ1B98</t>
  </si>
  <si>
    <t>REF A TRES PESQUISAS COMBO EXPRESSA RASTER 7580296 CAVALO LCZ1B98 MOT. LUCAS DA SILVA GILESSOLIC. POR FRANCISCO TICKET  198026 DIA 02/06/2026</t>
  </si>
  <si>
    <t>JOSE FERNANDO DE MELO JUNIOR</t>
  </si>
  <si>
    <t>FDE2F95</t>
  </si>
  <si>
    <t>REFERENTE A 3 PESQUISAS EXPRESSAS RASTER Nº 7581730 - SOLICITAÇÃO DEBORA - TICKET Nº 198033 - MOT. JOSE FERNANDO DE MELO JUNIOR</t>
  </si>
  <si>
    <t>REFERENTE A CONSULTA SKYMARK Nº 3972464 - SOLICITAÇÃO MATHEUS - TICKET Nº 198034  - MOT. NEIMAR SILVA DO CARMO</t>
  </si>
  <si>
    <t>EZO TAVARES DOS SANTOS</t>
  </si>
  <si>
    <t>HTP1A52</t>
  </si>
  <si>
    <t>REFERENTE A 2 PESQUISA NORMAL COMBO 1 RDO  RASTER Nº 7579552 - SOLICITAÇÃO ANTONIO - TICKET Nº 198036 - MOT. EZO TAVARES DOS SANTOS</t>
  </si>
  <si>
    <t>REFERENTE A 3 CONSULTAS RASTER Nº 7584171 - SOLICITAÇÃO MATHEUS - TICKET Nº 198037 - MOT. WALISSON FERNANDES DE SA</t>
  </si>
  <si>
    <t>REFERENTE A CONSULTA OPENTECH (CONJUNTO/MOT) - SOLICITAÇÃO DEBORA - TICKET Nº 198040 - MOT. GEVERSON GENEROSO CARDOSO</t>
  </si>
  <si>
    <t xml:space="preserve">SILVIO ANDRE MARTINS DOS SANTOS </t>
  </si>
  <si>
    <t xml:space="preserve">REFERENTE A CONSULTA SKYMARK Nº 3973654 - SOLICITAÇÃO ALESSANDRO - TICKET Nº 198041 - MOT. SILVIO ANDRE MARTINS DOS SANTOS </t>
  </si>
  <si>
    <t>REFERENTE A 3 PESQUISAS EXPRESSAS RASTER Nº 7584157 - SOLICITAÇÃO DEBORA - TICKET Nº 198042 - MOT. RODRIGO ANTONIO MAIOCHI</t>
  </si>
  <si>
    <t>DIONATA DA SILVA VICENTE</t>
  </si>
  <si>
    <t>PCM8E28</t>
  </si>
  <si>
    <t>REFERENTE A 3 PESQUISAS EXPRESSAS COMBO RASTER Nº 7584359 - SOLICITAÇÃO DEBORA - TICKET Nº 198043 - MOT. DIONATA DA SILVA VICENTE</t>
  </si>
  <si>
    <t>MARCOS SIMENIE LINO 39681944895</t>
  </si>
  <si>
    <t>GKF7D07</t>
  </si>
  <si>
    <t>04.17</t>
  </si>
  <si>
    <t>REF. A TRÊS ITENS PESQ. COMBO NORMAL RASTER 7584184 - CAVALO GKF7D07 - MOT. MARCOS SIMENIE LINO 39681944895 - SOLIC. POR Adriana Regina Tamanini - TICKET 198048 - DIA 03-06-26</t>
  </si>
  <si>
    <t>ALEXANDRE CORREA BARREIRO</t>
  </si>
  <si>
    <t>MHZ4860</t>
  </si>
  <si>
    <t>REF. A TRÊS PESQ. NORMAIS AVULSA RASTER 7586302 - CAVALO MHZ4860 - MOT. ALEXANDRE CORREA BARREIRO - SOLIC. POR Kelirin Cardoso Gomes - TICKET  198063 - DIA 03-06-26</t>
  </si>
  <si>
    <t>REF. A TRÊS CONSULTAS RASTER 7587111 - CAVALO RXY3E83 - MOT. FABRICIO MENDES TIAGO - SOLIC. POR Debora Morgado - TICKET 198069 - DIA 03/03/2026</t>
  </si>
  <si>
    <t>REF. A LIB. OPENTECH - CAVALO DAH4I75 - MOT. ANTONIO APARECIDO KELLI - SOLIC. POR Debora Morgado - TICKET 198071 - DIA 03-06-26</t>
  </si>
  <si>
    <t>APARECIDO ROMAO DOS SANTOS</t>
  </si>
  <si>
    <t>ELQ6J08</t>
  </si>
  <si>
    <t>REF. A LIB. OPENTECH - CAVALO ELQ6J08 - MOT. APARECIDO ROMAO DOS SANTOS - SOLIC. POR Debora Morgado - TICKET 198076 - DIA 03-06-26</t>
  </si>
  <si>
    <t>ELOI DE CAMARGO REBOUCAS</t>
  </si>
  <si>
    <t>FDB5G08</t>
  </si>
  <si>
    <t>REF. A LIB. OPENTECH - CAVALO FDB5G08 - MOT. ELOI DE CAMARGO REBOUCAS - SOLIC. POR Debora Morgado - TICKET 198078 - DIA 03-06-26</t>
  </si>
  <si>
    <t>REF. A LIB. OPENTECH - CAVALO EOE6A76 - MOT. CLAUDINEI ROBERTO ROCHA  - SOLIC. POR Debora Morgado - TICKET 198079 - DIA 03-06-26</t>
  </si>
  <si>
    <t>DANIEL AURELIANO GODOI</t>
  </si>
  <si>
    <t>DVS9370</t>
  </si>
  <si>
    <t>REF. A UMA RDO DUAS PESQUISAS COMBO RASTER 7586805  CAVALO DVS9370MOT. DANIEL AURELIANO GODOI SOLIC. POR DEBORA TICKET 198080 DIA 03/06/2026</t>
  </si>
  <si>
    <t>REF A UMA RDO UMA PESQUISA CONJUNTO OPENTECH CAVALO DVS9370MOT. DANIEL AURELIANO GODOI SOLIC. POR DEBORA TICKET 198080 DIA 03/06/2026</t>
  </si>
  <si>
    <t>REF A  TRES CONSULTAS RASTER 7588162 CAVALO JBH2H16 MOT. ANDERSON VINICIO GERHARD SOLIC. POR DEBORA TICKET 198085 DIA 03/06/2026</t>
  </si>
  <si>
    <t>REF A TRES PESQUISAS COMBO RASTER 7588226 CAVALO SXK4B78 MOT. GIOVANNI LUIZ TOBIAS SOLIC. POR DEBORA TICKET 198086 DIA 03/06/2026</t>
  </si>
  <si>
    <t>IDX8I71</t>
  </si>
  <si>
    <t>REF A DUA CONSULTAS RASTER 7587524CAVALO IDX8I71 MOT. PABLO CESAR MONZON SOLIC. POR MARLON TICKET  198090 DIA 03/06/2026</t>
  </si>
  <si>
    <t>DANIEL BACK</t>
  </si>
  <si>
    <t>QJY1J16</t>
  </si>
  <si>
    <t>REF A UMA RDO DUAS PESQUISAS NORMAL RASTER 7584836 CAVALO QJY1J16 MOT.  DANIEL BACK SOLIC. POR CLAUDIO TICKET 198095 DIA 03/06/2026</t>
  </si>
  <si>
    <t>REF A  CINCO PESQUISAS SKYMARK 3972852 CAVALO QJY1J16 MOT.  DANIEL BACK SOLIC. POR CLAUDIO TICKET 198095 DIA 03/06/2026</t>
  </si>
  <si>
    <t>REF A TRES CONSULTAS RASTER 7589750 CAVALO JBH2H16 MOT. ANDERSON VINICIO GERHARD SOLIC. POR DANIEL TICKET 198097 DIA 03/06/2026</t>
  </si>
  <si>
    <t>REF A 3 PESQUISAS SKYMARK 3975299 SOLIC P ALESSANDRO, TICKET 198103</t>
  </si>
  <si>
    <t>REF A CONS SKYMARK 3975392 SOLIC P ALESSANDRO VIA TICKET 198106 - MOT ADENILSON BARROS DE OLIVEIRA</t>
  </si>
  <si>
    <t>NYF8W44</t>
  </si>
  <si>
    <t>REF A CONS SKYMARK 3975395 SOLIC P ALESSANDRO TICKET 198107 - MOT DOUGLAS ELIESER ALVARENGA</t>
  </si>
  <si>
    <t>SERGIO RODRIGUES PIRES</t>
  </si>
  <si>
    <t>TZG0G88</t>
  </si>
  <si>
    <t>REF A 3 PESQUISA SKYMARK 3975448 SOLIC P ALESSANDRO, TICKET 198109 - MOT SERGIO RODRIGUES PIRES</t>
  </si>
  <si>
    <t>AUDENIO EVANGELISTA RODRIGUES</t>
  </si>
  <si>
    <t>FDZ0E42</t>
  </si>
  <si>
    <t>REF A 2 PESQUISA COMBO EXPRESSA + PESQUISA+ 7589604 RASTER, SOLIC P SUELEN, TICKET 198110</t>
  </si>
  <si>
    <t>JESUS ADRIANO ATAIDE</t>
  </si>
  <si>
    <t>OXK2C17</t>
  </si>
  <si>
    <t>REF A CONS SKYMARK 3975499 SOLIC P ALESSANDRO, TICKET 198111 - MOT JESUS ADRIANO ATAIDE</t>
  </si>
  <si>
    <t>REF A CONS SKYMARK 3975870, SOLIC P VALNEI, TICKET  198114 - MOT JOSE CARLOS DE FREITAS - OWL9232</t>
  </si>
  <si>
    <t>ADAUTO BERNARDO DOS SANTOS</t>
  </si>
  <si>
    <t>DJE9027</t>
  </si>
  <si>
    <t>04.07</t>
  </si>
  <si>
    <t>REF A 3 PESQUISAS COMBO NORMAL RASTER 75858957 SOLIC P ADRINA,A TICKET  198115 - MOT ADAUTO BERNARDO DOS SANTOS</t>
  </si>
  <si>
    <t>JOSE MARCELO DIAS</t>
  </si>
  <si>
    <t>MMI4G28</t>
  </si>
  <si>
    <t xml:space="preserve">REF A 3 PESQUISAS COMBO NROMAL + PESQUISA+ 7591264, SOLIC P UELDER, TICKET 198117 </t>
  </si>
  <si>
    <t>FABIO XAVES DE GODOY</t>
  </si>
  <si>
    <t>DAJ9704</t>
  </si>
  <si>
    <t>REFERENTE A 2 PESQUISAS NORMAL 1 RDO RASTER Nº 7586814 - SOLICITAÇÃO MATHEUS - TICKET Nº 198123 - MOT. FABIO XAVES DE GODOY</t>
  </si>
  <si>
    <t>REFERENTE A CONSULTA OPENTECH (CONJUNTO/MOT) - SOLICITAÇÃO DEBORA - TICKET Nº  198131 - MOT. CLEITON PEREIRA DOMINGOS</t>
  </si>
  <si>
    <t>WANDO RODRIGUES FERREIRA</t>
  </si>
  <si>
    <t>PWB5G15</t>
  </si>
  <si>
    <t>REFERENTE A 2 PESQUISAS NORMAL 1 RDO RASTER Nº 7588393 - SOLICITAÇÃO MATHEUS - TICKET Nº 198132 - MOT. WANDO RODRIGUES FERREIRA</t>
  </si>
  <si>
    <t>EFW3B56</t>
  </si>
  <si>
    <t>REFERENTE A CONSULTA OPENTECH (CONJUNTO/MOT) - SOLICITAÇÃO DEBORA - TICKET Nº  198134 - MOT. RAFAEL PREVIATTI</t>
  </si>
  <si>
    <t>REFERENTE A CONSULTA OPENTECH (CONJUNTO/MOT) - SOLICITAÇÃO DEBORA - TICKET Nº  198135 - MOT. ALBERT LUIZ MOGNON</t>
  </si>
  <si>
    <t>REFERENTE A 3 CONSULTAS RASTER Nº 7594035 - SOLICITAÇÃO MATHEUS - TICKET Nº 198133 - MOT. SILMARIO VITORINO DE ALMEIDA</t>
  </si>
  <si>
    <t>ADRIANO DE OLIVEIRA SOUZA</t>
  </si>
  <si>
    <t>BWJ0A13</t>
  </si>
  <si>
    <t>REFERENTE A 3 PESQUISAS EXPRESSAS RASTER Nº 7594124 - SOLICITAÇÃO GABRIEL - TICKET Nº 198137 - MOT. ADRIANO DE OLIVEIRA SOUZA</t>
  </si>
  <si>
    <t>RRQ2G49</t>
  </si>
  <si>
    <t>REFERENTE A 3 CONSULTAS RASTER Nº 7594223 - SOLICITAÇÃO GISELI - TICKET Nº 198138 - MOT. LUCIANO NARDE LEAL</t>
  </si>
  <si>
    <t>REFERENTE A CONSULTA OPENTECH (CONJUNTO/MOT) - SOLICITAÇÃO DEBORA - TICKET Nº  198139 - MOT. EDSON SILVA</t>
  </si>
  <si>
    <t>MEB7H87</t>
  </si>
  <si>
    <t>REFERENTE A 3  CONSULTAS RASTER Nº 7595038 - SOLICITAÇÃO DEBORA - TICKET Nº 198144 - MOT. FELIPE FROIS LAURENTINO</t>
  </si>
  <si>
    <t>REFERENTE A 3 CONSULTAS RASTER Nº 7595091 - SOLICITAÇÃO DEBORA - TICKET Nº 198145 - MOT. CLAIRTON MACHADO DA SILVA</t>
  </si>
  <si>
    <t>REFERENTE A 2 CONSULTAS SKYMARK Nº 3977382 - SOLICITAÇÃO MATHEUS - TICKET Nº 198146 - MOT. PAULO SERGIO ALVES CUNHA</t>
  </si>
  <si>
    <t>REFERENTE A 3 CONSULTAS RASTER Nº 7595110 - SOLICITAÇÃO DEBORA - TICKET Nº 198147- MOT. JOAO LUCAS DA SILVA PEREIRA</t>
  </si>
  <si>
    <t>REFERENTE A 3 CONSULTAS RASTER Nº 7595573 - SOLICITAÇÃO DEBORA - TICKET Nº 198149 - MOT.  LEANDRO NUNES DA ROCHA</t>
  </si>
  <si>
    <t>ALENCAR MATEUS SCHWANCK JUNIOR</t>
  </si>
  <si>
    <t>ENQ9G65</t>
  </si>
  <si>
    <t>REFERENTE A 2 PÉSQUISAS EXPRESSAS RASTER 1 RDO - SOLICITAÇÃO DEBORA - TICKET Nº 198150 - MOT. ALENCAR MATEUS SCHWANCK JUNIOR</t>
  </si>
  <si>
    <t>CLERIO WITT</t>
  </si>
  <si>
    <t>SFZ5F67</t>
  </si>
  <si>
    <t>REF A UMA RDO DUAS PESQUISAS COMBO EXPRESSA RASTER 7593551 CAVALO SFZ5F67MOT. CLERIO WITT SOLIC. POR DEBORA TICKET 198154 DIA 05/06/2026</t>
  </si>
  <si>
    <t>REFERENTE A CONSULTA OPENTECH (CONJUNTO/MOT) - SOLICITAÇÃO DEBORA - TICKET Nº  198165 - MOT. ANTONIO APARECIDO KELLI</t>
  </si>
  <si>
    <t>TIAGO DA SILVA VAZ</t>
  </si>
  <si>
    <t>REF . A UMA RDO DUAS PESQUISAS COMBO EXPRESSA RASTER 7594631 CAVALO IRX1G13 MOT. TIAGO DA SILVA VAZ SOLIC. POR DEBORA TICKET 198155DIA 05/06/2026</t>
  </si>
  <si>
    <t>DENIS ROBERTO CORDEIRO</t>
  </si>
  <si>
    <t>CUE4A35</t>
  </si>
  <si>
    <t>REFERENTE A CONSULTA OPENTECH (CONJUNTO/MOT) - SOLICITAÇÃO DEBORA - TICKET Nº  198162 - MOT. DENIS ROBERTO CORDEIRO</t>
  </si>
  <si>
    <t>JONAS CARDOSO DOS SANTOS</t>
  </si>
  <si>
    <t>MIN7A93</t>
  </si>
  <si>
    <t>REF A UMA RDO DUAS CONSULTAS COMBO EXPRESSA RASTER 7594821 CAVALO MIN7A93 MOT. JONAS CARDOSO DOS SANTOS SOLIC. POR DEBORA  TICKET  198156 DIA 05/06/2026</t>
  </si>
  <si>
    <t>JOACIR JOSE SCHMITZAUS</t>
  </si>
  <si>
    <t>TQQ4E68</t>
  </si>
  <si>
    <t>REF A UMA RDO DUAS PESQUISAS COMBO EXPRESSA RASTER 7594993 CAVALO TQQ4E68 MOT. JOACIR JOSE SCHMITZAUS SOLIC. POR DEBORA TICKET 198157 DIA 05/06/02026</t>
  </si>
  <si>
    <t>ROGER RICARDO RAMOS DOS SANTOS</t>
  </si>
  <si>
    <t>IVS9I09</t>
  </si>
  <si>
    <t>REFERENTE A 2 PESQUISAS EXPRESSAS COMBO 1 RDO RASTER Nº 7595432 - SOLICITAÇÃO DEBORA - TICKET Nº 198161 - MOT. ROGER RICARDO RAMOS DOS SANTOS</t>
  </si>
  <si>
    <t>FERNANDO CARDOSO DA SILVA</t>
  </si>
  <si>
    <t>JAD9J39</t>
  </si>
  <si>
    <t>REF A TRES PESQUISAS COMBO EXPRESSA RASTER 7595161 CAVALO JAD9J39 MOT. FERNANDO CARDOSO DA SILVA SOLIC. POR DEBORA TICKET 198158 DIA 05/06/2026</t>
  </si>
  <si>
    <t>RICHARD TEIXEIRA KRUGER</t>
  </si>
  <si>
    <t>JAS0J76</t>
  </si>
  <si>
    <t>REFERENTE A 3 PESQUISAS EXPRESSAS COMBO RASTER Nº 7595235 - SOLICITAÇÃO DEBORA - TICKET Nº 198159 - MOT. RICHARD TEIXEIRA KRUGER</t>
  </si>
  <si>
    <t>TIAGO DOS SANTOS GONSALVES</t>
  </si>
  <si>
    <t>QKL5E90</t>
  </si>
  <si>
    <t>REF A TRES PESQUISAS COMBO EXPRESSA RASTER 7595662 CAVALO QKL5E90 MOT. TIAGO DOS SANTOS GONSALVES  SOLIC. POR DEBORA TICKET  198167 DIA 05/06/2026</t>
  </si>
  <si>
    <t>ARTULINO VANDERLEI DA CRUZ</t>
  </si>
  <si>
    <t>MCZ8778</t>
  </si>
  <si>
    <t>REF A TRÊS PESQUISA AVULSA NORMAL RASTER 7596135 CAVALO MCZ8778MOT. ARTULINO VANDERLEI DA CRUZ SOLIC. POR KELIRIN TICKET 198170 DIA 05/06/2026</t>
  </si>
  <si>
    <t>REFERENTE A CONSULTA SKYMARK Nº 3978146 - SOLICITAÇÃO ALESSANDRO - TICKET Nº  198172 - MOT. RONALDO ADRIANO ROSA</t>
  </si>
  <si>
    <t xml:space="preserve">REF A UMA PESQUISA SKYMARK 3978137 CAVALO NXY5170 MOT. GLADSTON CASSIMIRO ALVES SOLIC. POR ALESSANDRO TICKET  198171 DIA 05/06/2026 </t>
  </si>
  <si>
    <t>REFERENTE A CONSULTA OPENTECH (CONJUNTO/MOT) - SOLICITAÇÃO DEBORA - TICKET Nº  198176 - MOT. FLADEMIR CARLOS GODOI</t>
  </si>
  <si>
    <t>REFERENTE A CONSULTA OPENTECH (CONJUNTO/MOT) - SOLICITAÇÃO DEBORA - TICKET Nº 198178 - MOT. MATHEUS NOGUEIRA DA SILVA</t>
  </si>
  <si>
    <t>REF A UMA RDO UMA PESQUISA OPENTECH CAVALO BWT2D98 MOT. HENRIQUE APARECIDO BERGAMASCO SOLIC. POR DEBORA TICKET 198177 DIA 05/06/2026</t>
  </si>
  <si>
    <t>LEONARDO OLIVEIRA DIAS</t>
  </si>
  <si>
    <t>FRP7I81</t>
  </si>
  <si>
    <t>REF A UMA RDO UMA PESQUISA OPENTECH CAVALO FRP7I81 MOT. LEONARDO OLIVEIRA DIASSOLIC. POR DEBORA TICKET 198183DIA 05/06/2026</t>
  </si>
  <si>
    <t>REF A UM ARDO UMA PESQUISA OPENTECH CAVALO OPS0C30 MOT. RAFAEL FONTINELE FROTA SOLIC. POR DEBORA TICKET 198184 DIA 05/06/2026</t>
  </si>
  <si>
    <t>VALMIR GOULART</t>
  </si>
  <si>
    <t>CNR7J43</t>
  </si>
  <si>
    <t>REF A UMA RDO UMA PESQUISA OPENTECH CAVALO CNR7J43 MOT. VALMIR GOULART SOLIC. PÓR DEBORA TICKET  198185 DIA 05/06/2026</t>
  </si>
  <si>
    <t>REF A UMA RDO UM APESQUISA OPENTECH CAVALO OLV7F75 MOT. EDUARDO JESUS TOMAZINHO SOLIC. POR DEBORA TICKET  198188 DIA 05/06/2026</t>
  </si>
  <si>
    <t>REF A UMA RDO UMA PESQUISA OPENTECH CAVALO IUH9C15 MOT. LUIS APARECIDO DA SILVA MOURA SOLIC. POR DEBORA TICKET  198189 DIA 05/06/2026</t>
  </si>
  <si>
    <t>REF A TRÊS CONSULTAS RASTER 7597644 CAVALO IGQ2977 MOT. NILSON ROSA BOM  SOLIC. POR SANDRO TICKET 198190 DIA 05/06/2026</t>
  </si>
  <si>
    <t>REFERENTE A 3 CONSULTAS RASTER Nº 7597748 - SOLICITAÇÃO SANDRO - TICKET Nº 198193 - MOT. GILMAR DIAS RAMOS</t>
  </si>
  <si>
    <t>REFERENTE A 3 CONSULTAS RASTER Nº 7597723 - SOLICITAÇÃO SANDRO - TICKET Nº 198192 - MOT.  DARWIN EDUARDO PINTOS VIERA JUNIIOR</t>
  </si>
  <si>
    <t>REF A TRES CONSULTAS RASTER 7597653  CAVALO IIA1480 MOT. HEBER RODRIGUEZ MUNIZ SOLIC. POR SANDRO TICKET 198191 DIA 05/06/2026</t>
  </si>
  <si>
    <t>REFERENTE A 3 CONSULTAS RASTER Nº 7597819 - SOLICITAÇÃO DANIEL - TICKET Nº 198194 - MOT. ELEANDRO AMARAL FERNANDES</t>
  </si>
  <si>
    <t>VANDERLEI VICENTINI</t>
  </si>
  <si>
    <t>DCX2838</t>
  </si>
  <si>
    <t>REFERENTE A CONSULTA OPENTECH (CONJUNTO/MOT) - SOLICITAÇÃO DEBORA - TICKET Nº 198195 - MOT. VANDERLEI VICENTINI</t>
  </si>
  <si>
    <t>REFERENTE A CONSULTA OPENTECH (CONJUNTO/MOT) -  SOLICITAÇÃO DEBORA - TICKET Nº 198200 - MOT. JOSE FERNANDO DE MELO JUNIOR</t>
  </si>
  <si>
    <t>REF A TRÊS CONSULTAS RASTER 7597941 CAVALO JCJ4H44 MOT. HELINTON TOMAZI DE SOUZA SOLIC. POR DANIEL TICKET  198197 DIA 05/06/2026</t>
  </si>
  <si>
    <t>REFERENTE A 3 CONSULTAS RASTER Nº 7597962 - SOLICITAÇÃO DEBORA - TICKET Nº 198198 - MOT. ANDRE FERNANDES DE SOUZA</t>
  </si>
  <si>
    <t>LUIS FELIPE FONTANIVE</t>
  </si>
  <si>
    <t>PNV1B81</t>
  </si>
  <si>
    <t>REF A UMA RDO DUAS PESQUISAS COMBO EXPRESSA RASTER 7597152 CAVALO PNV1B81 MOT. LUIS FELIPE FONTANIVESOLIC. POR DEBORA TICKET  198201 DIA 05/06/2026</t>
  </si>
  <si>
    <t>REF. A TRÊS  PESQUISAS COMBO EXPRESSA RASTER 7597954 CAVALO JCR1F92 MOT. LUCAS GEROLETTI FERNANDESSOLIC. POR  DANIEL TICKET 198202 DIA 05/06/2026</t>
  </si>
  <si>
    <t xml:space="preserve">REF A UMA RDO UMA PESUISA OPENTECH CAVALO GKL0E65 MOT. REGINALDO ADRIANO BARBOSA SOLIC. POR  DEBORA TICKET 198203 DIA 05/06/2026 </t>
  </si>
  <si>
    <t>EMERSON SCHARDOSIM BORGES</t>
  </si>
  <si>
    <t>IUV4195</t>
  </si>
  <si>
    <t>REF A UMA RDO DUAS PESQUISAS COMBO EXPRESSA RASTER 7597384 CAVALO IUV4195 MOT. EMERSON SCHARDOSIM BORGESSOLIC. POR  DEBORA TICKET 198205 DIA 05/06/2026</t>
  </si>
  <si>
    <t>ADRIANO NUNES DOS SANTOS</t>
  </si>
  <si>
    <t>MLK1C04</t>
  </si>
  <si>
    <t>REF A UMA RDO DUAS PESQUISAS COMBO EXPRESSA RASTER 7597066 CAVALO MLK1C04 MOT. ADRIANO NUNES DOS SANTOS SOLIC. POR DEBORA TICKET 198206 DIA 05/06/2026</t>
  </si>
  <si>
    <t>REF A TRES CONSULTAS RASTER 7598744 CAVALO IHI0B8A MOT. GUSTAVO RABELO MOREIRASOLIC. POR KELIRIN TICKET  198207 DIA 05/06/2026</t>
  </si>
  <si>
    <t>LOURENCO LEITE DA COSTA</t>
  </si>
  <si>
    <t>BWU5C06</t>
  </si>
  <si>
    <t>REF A TRES PESQUISAS COMBO EXPRESSA RASTER 7598185 CAVALO BWU5C06 MOT. LOURENCO LEITE DA COSTASOLIC. POR FRANCISCO  TICKET 198208DIA 05/06/2026</t>
  </si>
  <si>
    <t>REFERENTE A 1 CONSULTA SKYMARK Nº 3979243 - SOLICITAÇÃO JEAN - TICKET Nº 198215 - MOT. ROMILSON DELFINO DE OLIVEIRA</t>
  </si>
  <si>
    <t>REFERENTE A 3 CONSULTAS RASTER Nº 7603295 - SOLICITAÇÃO GUSTAVO - TICKET Nº 198217 - MOT. JARDEL FERNANDO MINGOTE</t>
  </si>
  <si>
    <t>ROMERO DOS SANTOS MARES</t>
  </si>
  <si>
    <t>HKP2H82</t>
  </si>
  <si>
    <t>REFERENTE A 1 CONSULTA 1 PESQUISA AVULSA EXPRESSA RASTER Nº 7603408 - SOLICITAÇÃO LORIS - TICKET Nº 198219 - MOT. ROMERO DOS SANTOS MARES</t>
  </si>
  <si>
    <t>REFERENTE A 3 CONSULTAS RASTER Nº 7603992 - SOLICITAÇÃO BRUNO - TICKET Nº 198223 - MOT. FABRICIO MENDES TIAGO</t>
  </si>
  <si>
    <t xml:space="preserve"> TIAGO DONIZETI BASTOS</t>
  </si>
  <si>
    <t>QAP9D59</t>
  </si>
  <si>
    <t>REFERETE A 2 PESQUISA NORMAL RASTER COMBO Nº 764348 - SOLICITAÇÃO CHRISTIAN - TICKET Nº 198225 - MOT. TIAGO DONIZETI BASTOS</t>
  </si>
  <si>
    <t>REFERETE A 3 CONSULTAS RASTER Nº 7603992 - SOLICITAÇÃO BRUNO DO PRADO - TICKET Nº 198223 - MOT. FABRICIO MENDES TIAGO</t>
  </si>
  <si>
    <t>ARNALDO JARBAS DA COSTA ARAUJO</t>
  </si>
  <si>
    <t>IPG3D56</t>
  </si>
  <si>
    <t xml:space="preserve">REFERENTE A 2 CONSULTAS RASTER Nº 7576765 - SOLICITAÇÃO RAFAEL - TICKET 198225 - MOT. ARNALADO JARBAS </t>
  </si>
  <si>
    <t>REFERENTE A CONSULTA OPENTECH (CONJUNTO/MOT) - SOLICITAÇÃO DEBORA - TICKET Nº 198239 - MOT. LUIS APARECIDO DA SILVA MOURA</t>
  </si>
  <si>
    <t>MARCELO AUGUSTO GERALDO</t>
  </si>
  <si>
    <t>DBC4526</t>
  </si>
  <si>
    <t>REFERENTE A CONSULTA OPENTECH (CONJUNTO/MOT) - SOLICITAÇÃO DEBORA - TICKET Nº 198240 - MOT. MARCELO AUGUSTO GERALDO</t>
  </si>
  <si>
    <t>REFFERENTE A PESQUISAS SKYMARK Nº 3980467 - SOLICITAÇÃO ALESSANDRO - TICKET Nº 198242 - MOT. GEORGE TORRES TEIXEIRA MOREIRA</t>
  </si>
  <si>
    <t>FELIX  CRISTIANO DE JESUS</t>
  </si>
  <si>
    <t>JOZ8946</t>
  </si>
  <si>
    <t>REFERENTE A PESQUISA SKYMARK Nº 3980474 - SOLICITAÇÃO ALESSANDRO - TICKET Nº 198243 - MOT. FELIX  CRISTIANO DE JESUS</t>
  </si>
  <si>
    <t>MARCOS VINICIUS SILVA DE FREITAS</t>
  </si>
  <si>
    <t>REFERENTE A 3 PESQUISAS EXPRESSAS RASTER COMBO Nº 7609340 - SOLICITAÇÃO DEBORA - TICKET Nº 198244 - MOT. MARCOS VINICIUS SILVA DE FREITAS</t>
  </si>
  <si>
    <t>ARQUIMEDES FRASSETTO DE QUADROS</t>
  </si>
  <si>
    <t>IBU3G04</t>
  </si>
  <si>
    <t>REFERENTE A 3 PESQUISAS EXPRESSAS RASTER COMBO Nº 7609387 - SOLICITAÇÃO DEBORA - TICKET Nº 198246 - MOT. ARQUIMEDES FRASSETTO DE QUADROS</t>
  </si>
  <si>
    <t>AMISTERDAM PEREIRA DA SILVA</t>
  </si>
  <si>
    <t>MTS9B90</t>
  </si>
  <si>
    <t>REFERENTE A 23 PESQUISA NORMAL 1 RDO RASTER Nº 7597268 - SOLICITAÇÃO MATHEUS - TICKET Nº 198247 - MOT. AMISTERDAM PEREIRA DA SILVA</t>
  </si>
  <si>
    <t>REFERENTE A 3 CONSULTAS RASTER Nº 7609791 - SOLICITAÇÃO MATHEUS - TICKET Nº 198248 - MOT.  PAULO JOSE DE ALMEIDA</t>
  </si>
  <si>
    <t>REFERENTE A 3 CONSULTAS RASTER Nº 7596950 - SOLICITAÇÃO MATHEUS - TICKET Nº 198249 - MOT. MARCOS RICARDO GONÇALVES</t>
  </si>
  <si>
    <t>REFERENTE A 3 CONSULTAS RASTER Nº 7609883 - SOLICITAÇÃO MATHEUS - TICKET Nº 198258 - MOT. LUCIANO SILVA GONCALVES</t>
  </si>
  <si>
    <t>REFERENTE A 3 CONSULTAS RASTER Nº 76102220  - SOLICITAÇÃO MATHEUS - TICKET Nº 198257 - MOT. RONALDO TEODORO MACHADO</t>
  </si>
  <si>
    <t>GEILSON FERREIRA VALENTIM</t>
  </si>
  <si>
    <t>REFERENTE A PESQUSIA SKYMARK Nº 3980757 (CONJUNTO/MOT) - SOLIXCITAÇÃO ALESSANDRO - TICKET Nº 198259 - MOT. GEILSON FERREIRA VALENTIM</t>
  </si>
  <si>
    <t>REFERENTE A 2 CONSULTAS RASTER Nº 7610812 - SOLICITAÇÃO SANDRO - TICKET Nº 198262 - MOT. JADER MENDES DIAS</t>
  </si>
  <si>
    <t>REFERENTE A CONSULTA OPENTECH (CONJUNTO/MOT) - SOLICITAÇÃO DEBORA - TICKET Nº 198266 - MOT. PAULO DA SILVA JUNIOR</t>
  </si>
  <si>
    <t>MARCIO SOMMAVILA</t>
  </si>
  <si>
    <t>REFERENTE A 2 PESQUISAS EXPRESSAS 1 RDO RASTER Nº 7609491 - SOLICITAÇÃO DEBORA - TICKET Nº 198271 - MOT. MARCIO SOMMAVILA</t>
  </si>
  <si>
    <t>REFERENTE A 1 CONSULTA SKYMARK Nº 3981668 - SOLICITAÇÃO THAIS - TICKET Nº 198272 - MOT. EDEMILSON EDSON GARCIA</t>
  </si>
  <si>
    <t>REFERENTE A 1 CONSULTA SKYMARK Nº 3981743 - SOLICITAÇÃO THAIS - TICKET Nº 198273 - MOT. WALDEMAR BRAILA</t>
  </si>
  <si>
    <t>REF. A UMA CONSULTA SKYMAR 3981754 CAVALO EFO9B17 MOT. MIGUEL APARECIDO PEREIRA FILHOSOLIC. POR THAIS TICKET  198274 DIA 08/06/2026</t>
  </si>
  <si>
    <t>AMILTON DA SILVA CLAUDINO JUNIOR</t>
  </si>
  <si>
    <t>REF A UMA RDO DUAS PESQUISAS COMBO EXPRESSA RASTER  7609132 CAVALO MLO5I76 MOT. AMILTON DA SILVA CLAUDINO JUNIOR SOLIC. POR DEBORA TICKET 198276 DIA 08/06/2026</t>
  </si>
  <si>
    <t>REF A UMA RDO UMA PESQUISA OPENTECH CAVALO ELQ6J08 MOT. APARECIDO ROMAO DOS SANTOS SOLIC. POR DEBORA TICKET 198278 DIA 08/06/2026</t>
  </si>
  <si>
    <t>REF. A UMA RDO UMA PESQUISA OPENCTEH CAVALO GKL0E65 MOT.  REGINALDO ADRIANO BARBOSA SOLIC. POR DEBORA TICKET 198279 DIA 08/06/20206</t>
  </si>
  <si>
    <t>ALTAIDES ANTONIO FAE</t>
  </si>
  <si>
    <t>QTK0A51</t>
  </si>
  <si>
    <t>REF A UMA RDO DUAS PEQUISAS COMBO EXPRESSA RASTER 7609660 CAVALO QTK0A51 MOT. ALTAIDES ANTONIO FAE SOLIC. POR DEBORA TICKET 198277 DIA 08/06/2026</t>
  </si>
  <si>
    <t>REF A DUAS PESQUISAS COMBO EXPRESSA RASTER 7611998CAVALO HRO1D18 MOT. LEANDRO MUNHOZ BALLEROSOLIC. POR VALMIR TICKET 198281 DIA 08/06/2026</t>
  </si>
  <si>
    <t>REF. A UMA CONSULTA SKYMARK 3981954 CAVALO SHP8F13MOT. ELOIZIO BARROS DE OLIVEIRASOLIC. POR JEAN TICKET  198282 DIA 08/06/2026</t>
  </si>
  <si>
    <t>REF A TRÊS PESQUISAS COMBO EXPRESSA RASTER 7612485CAVALO FEI6J28MOT. MAURICIO RICARDO PEDROSO SOLIC. POR DEBORA TICKET 198294 DIA 08/06/2026</t>
  </si>
  <si>
    <t>REF. A A UMA CONSULTA SLYMARK 3982313 CAVALO GMX6I16MOT. PAULO SERGIO ALVES CUNHA SOLIC. POR MATHEUS TICKET 198295 DIA 08/06/2026</t>
  </si>
  <si>
    <t>REF A DUAS CONSULTAS RASTER 7613558CAVALO KEN0B66 MOT. HAMILTON ROBERTO RIBEIRO  SOLIC. POR DANIEL TICKET 198299 DIA 08/06/2026</t>
  </si>
  <si>
    <t>CELSO VICENTE DE SENA</t>
  </si>
  <si>
    <t>OVF0I80</t>
  </si>
  <si>
    <t>REFERENTE A PESQUISAS SKYMARK Nº 3982746 - SOLICITAÇÃO ALESSANDRO - TICKET Nº 198304 - MOT.  CELSO VICENTE DE SENA</t>
  </si>
  <si>
    <t>ROGERIO ANTONIO BASSETTO</t>
  </si>
  <si>
    <t>MQH6056</t>
  </si>
  <si>
    <t>REF. A UMA RDO TRÊS PESQUISA COMBO NORMAL RASTER 7588315CAVALO MQH6056 MOT. ROGERIO ANTONIO BASSETTO SOLIC. POR MARCELLI TICKET 198291 DIA 08/06/2026</t>
  </si>
  <si>
    <t>SIDINEI DA SILVA PEREIRA</t>
  </si>
  <si>
    <t>GAC5C99</t>
  </si>
  <si>
    <t>REF A UMA RDO DUAS CONSULTAS RASTER 7613464CAVALO GAC5C99 MOT. SIDINEI DA SILVA PEREIRA SOLIC. POR DANIEL TICKET 198298DIA 08/06/2026</t>
  </si>
  <si>
    <t>REFERENTE A 3 CONSULTAS RASTER Nº 7614340 - SOLICITAÇÃO GABRIEL - TICKET Nº 198311 - MOT.  TIAGO BUENO KEHRWALD</t>
  </si>
  <si>
    <t>REFERENTE A CONSULTA OPENTECH (CONJUNTO/MOT) - SOLICITAÇÃO DEBORA - TICKET Nº 198316 - MOT. WAGNER DE BARROS</t>
  </si>
  <si>
    <t>FELIPE DOS SANTOS BASTOS</t>
  </si>
  <si>
    <t>FUZ2H63</t>
  </si>
  <si>
    <t>REF A UMA RDO DUAS CONSULTAS RASTER 7614672CAVALO FUZ2H63 MOT. FELIPE DOS SANTOS BASTOS SOLIC. POR  DANIEL TICKET 198321 DIA 08/06/2026</t>
  </si>
  <si>
    <t>REF A TRES PESQUISAS COMBO EXPRESSA RASTER 7614412 CAVALO LKJ3495 MOT. JULIO CESAR VIEIRA JUNIOR SOLIC. POR THIAGO TICKET  198328 DIA 08/06/2026</t>
  </si>
  <si>
    <t>RE. A  CINCO CONSULTAS SKYMARK 3983524 CAVALO HOE1F15 MOT. GEILSON APARECIDO FERREIRA SOLIC. POR ALESSANDRO TICKET 198333 DIA 08/06/2026</t>
  </si>
  <si>
    <t>REFERENTE A 3 CONSULTAS RASTER Nº  7610751 - SOLICITAÇÃO MATHEUS - TICKET Nº 198338 - MOT. GEILSON APARECIDO FERREIRA</t>
  </si>
  <si>
    <t>PEDRO HENRIQUE ROQUE DE OLIVEIRA</t>
  </si>
  <si>
    <t>QUM6C07</t>
  </si>
  <si>
    <t>REFERENTE A 3 CONSULTAS RASTER Nº 7612369 - SOLICITAÇÃO MATHEUS  - TICKET Nº 198342 - MOT. PEDRO HENRIQUE ROQUE DE OLIVEIRA</t>
  </si>
  <si>
    <t>REFERENTE A 3 CONSULTAS RASTER Nº 7619843 - SOLICITAÇÃO MATHEUS - TICKET Nº 198339 - MOT. JEFFERSON SOCORRO MARQUES</t>
  </si>
  <si>
    <t>REFERENTE A 1 CONSULTA SKYMARK Nº 3985017 - TICKET Nº 198348 - SOLICITAÇÃO ALESSANDRO - MOT. MICHAEL CAMPOS DE SOUSA</t>
  </si>
  <si>
    <t>REFERENTE A 1 CONSULTA SKYMARK Nº 3985048 - TICKET Nº 198349 - SOLICITAÇÃO ALESSANDRO - MOT. PEDRO EMANUEL DAMASCENO GOMES SILVA</t>
  </si>
  <si>
    <t>ALEX RODRIGO NASCIMENTO DE AZEVEDO</t>
  </si>
  <si>
    <t>LRO7J88</t>
  </si>
  <si>
    <t>REFERENTE A 2 CONSULTAS RASTER Nº 7620479 - TICKET Nº 198351 - SOLICITAÇÃO DANIEL - MOT. ALEX RODRIGO NASCIMENTO DE AZEVEDO</t>
  </si>
  <si>
    <t>REFERENTE A PESQUISA SKYMARK Nº 3985179 - TICKET Nº 198352 - SOLICITAÇÃO ALESSANDRO - MOT. WANDERSON PIRES DA SILVA</t>
  </si>
  <si>
    <t>REFERENTE A 2 CONSULTAS E 1 PESQUISA AVULSA NORMAL RASTER Nº 7611128 - SOLICITAÇÃO MATHEUS - TICKET Nº 198356 - MOT. TIAGO MARCIO GUALBERTO</t>
  </si>
  <si>
    <t>WELLITON MENDES RIBAS</t>
  </si>
  <si>
    <t>GFE3E79</t>
  </si>
  <si>
    <t>REFERENTE A 2 CONSULTAS RASTER Nº 7621075 - SOLICITAÇÃO DANIEL - TICKET Nº 198359 - MOT. WELLITON MENDES RIBAS</t>
  </si>
  <si>
    <t>ALESSANDRO DONIZETI DE MELLO CALDANA</t>
  </si>
  <si>
    <t>SWP3A69</t>
  </si>
  <si>
    <t>REFERENTE A 1 PESQUISA EXPRESSA AVULSA 1 RDO RASTER Nº 7592537 - SOLICITAÇÃO SUELEN - TICKET Nº 198358 - MOT. ALESSANDRO DONIZETI DE MELLO CALDANA</t>
  </si>
  <si>
    <t>REFERENTE A CONSULTA SKYMARK Nº 3985741 - SOLICITAÇÃO THAIS - TICKET Nº 198360 - MOT. EDSON DOMICIANO DE MOURA</t>
  </si>
  <si>
    <t>EDUARDO DE OLIVEIRA SILVA</t>
  </si>
  <si>
    <t>EJV4F22</t>
  </si>
  <si>
    <t>REFERENTE A 1 PESQUISA AVULSA NORMAL 1 RDO RASTER Nº 7588484 - SOLICITAÇÃO THAIS - TICKET Nº 198362 - MOT. EDUARDO DE OLIVEIRA SILVA</t>
  </si>
  <si>
    <t>MARCO AURELIO DA PALMA</t>
  </si>
  <si>
    <t>DVT5462</t>
  </si>
  <si>
    <t>REFERENTE A 2 PESQUISAS EXPRESSAS COMBO RASTER Nº 7621147 - SOLICITAÇÃO VALMIR - TICKET Nº 198365 - MOT. MARCO AURELIO DA PALMA</t>
  </si>
  <si>
    <t>PAULO ROBERTO ALVES BANDEIRA</t>
  </si>
  <si>
    <t>QJQ8E60</t>
  </si>
  <si>
    <t>REFERENTE A 2 PESQUISAS EXPRESSAS COMBO 1 RDO RASTER Nº 7621025 - SOLICITAÇÃO DEBORA - TICKET Nº 198372 - MOT. PAULO ROBERTO ALVES BANDEIRA</t>
  </si>
  <si>
    <t>REFERENTE A CONSULTA OPENTECH (CONJUNTO/MOT) - SOLICITAÇÃO DEBORA - TICKET Nº 198371 - MOT. CELIO FERREIRA GOMES</t>
  </si>
  <si>
    <t>CUF9C46</t>
  </si>
  <si>
    <t>REFERENTE A 3 CONSULTAS RASTER Nº 7620686 - SOLICITAÇÃO MATHEUS - TICKET Nº 198373 - MOT. MARCOS JUNIO DE FREITAS LAGE</t>
  </si>
  <si>
    <t>EDVAL JUNIOR ALENCAR DA SILVA</t>
  </si>
  <si>
    <t>NZS0D47</t>
  </si>
  <si>
    <t>REFERENTE A 1 CONSULTA E 1 RDO RASTER Nº 7621659  - SOLICITAÇÃO SUELEN - TICKET Nº 198377 - MOT. EDVAL JUNIOR ALENCAR DA SILVA</t>
  </si>
  <si>
    <t>REFERENTE A 3 PESQUISAS EXPRESSAS COMBO RASTER Nº 7623286 - SOLICITAÇÃO DEBORA - TICKET Nº 198381 - MOT. ELOI DE CAMARGO REBOUCAS</t>
  </si>
  <si>
    <t>REFERENTE A 2 CONSULTAS RASTER Nº 7623958 - SOLICITAÇÃO DANIEL - TICKET Nº 198391 - MOT. ARNALDO JARBAS DA COSTA ARAUJO</t>
  </si>
  <si>
    <t>REFERENTE A 3 CONSULTAS RASTER Nº 7623997 - SOLICITAÇÃO GABRIEL - TICKET Nº 198393 - MOT. GEAN ARRUDA DA LUZ</t>
  </si>
  <si>
    <t>REFERENTE A 2 PESQUISAS EXPRESSAS RASTER Nº 7589604 - SOLICITAÇÃO RAFAEL - TICKET Nº 198408 - MOT. AUDENIO EVANGELISTA RODRIGUES</t>
  </si>
  <si>
    <t>REGINALDO CARLOS DE BITTERNCOURT</t>
  </si>
  <si>
    <t>JCX9I93</t>
  </si>
  <si>
    <t>REF . A UMA RDO DUAS PESQUISAS COMBO NORMAL RASTER  7623876 CAVALO JCX9I93 MOT. REGINALDO CARLOS DE BITTERNCOURT SOLIC. POR GABRIEL TICKET  198416 DIA 09/06/2026</t>
  </si>
  <si>
    <t>VINICIUS ARAUJO MARTINS</t>
  </si>
  <si>
    <t>RNF4H23</t>
  </si>
  <si>
    <t>REF A UMA RDO UMA PESQUSA AVULSA NORMAL RASTER 7623269 CAVALO RNF4H23 MOT. VINICIUS ARAUJO MARTINS SOLIC. POR  GUSTAVO TICKET 198418 DIA 09/06/2026</t>
  </si>
  <si>
    <t>REF A TRES CONSULTAS RASTER 7626078CAVALO NYQ8J67 MOT. ROBINSON FERREIRA DA ROCHA SOLIC. POR  FRANCISCO TICKET 198420 DIA 09/06/2026</t>
  </si>
  <si>
    <t>LUCIANO PEREIRA BRITO PAIVA</t>
  </si>
  <si>
    <t>OUD9C09</t>
  </si>
  <si>
    <t>REF. A DUAS CONSULTAS RASTER 7627203 - CAVALO OUD9C09 - MOT. LUCIANO PEREIRA BRITO PAIVA - SOLIC. POR  Fabiana Cabral da Costa - TICKET 198434 - DIA 10-06-2026</t>
  </si>
  <si>
    <t>REFERENTE A 3 CONSULTAS RASTER Nº 7627370 - SOLICITAÇÃO MATHEUS - TICKET Nº 198437 - MOT. WENDER BRUZON DECOLO</t>
  </si>
  <si>
    <t>REFERENTE A 3 CONSULTAS RASTER Nº 7627500 - SOLICITAÇÃO MATHEUS - TICKET Nº 198438 - MOT. MARCELO VIEIRA GONÇALVES</t>
  </si>
  <si>
    <t>REFERENTE A CONSULTA OPENTECH (CONJUNTO/MOT) - SOLICITAÇÃO DEBORA - TICKET Nº 198439 - MOT. ELOI DE CAMARGO REBOUCAS</t>
  </si>
  <si>
    <t>REFERENTE A 3 PESQUISAS NORMAL COMBO RASTER Nº  7621128 - SOLICITAÇÃO MATHEUS - TICKET Nº 198441 - MOT. WANDERSON PIRES DA SILVA</t>
  </si>
  <si>
    <t>REFERENTE A CONSULTA OPENTECH (CONJUNTO/MOT) - SOLICITAÇÃO DEBORA - TICKET Nº 198442 - MOT. DENIS ROBERTO CORDEIRO</t>
  </si>
  <si>
    <t>REFERENTE A 3 PESQUISAS NORMAL COMBO RASTER Nº  7621040 - SOLICITAÇÃO  MATHEUS - TICKET Nº 198443 - MOT. MICHAEL CAMPOS DE SOUSA</t>
  </si>
  <si>
    <t>SFC1C65</t>
  </si>
  <si>
    <t>REFERENTE A CONSULTA OPENTECH (CONJUNTO/MOT) - SOLICITAÇÃO DEBORA - TICKET Nº 198445 - MOT. FLADEMIR CARLOS GODOI</t>
  </si>
  <si>
    <t>REFERENTE A 2 CONSULTAS RASTER Nº 7627855 - SOLICITAÇÃO DANIEL - TICKET Nº 198451 - MOT. LUCIANO PEREIRA BRITO PAIVA</t>
  </si>
  <si>
    <t>REFERENTE A 3 PESQUISAS EXPRESSAS COMBO RASTER Nº 7628137 - SOLICITAÇÃO DEBORA  - TICKET Nº  198455 - MOT. RAFAEL MONTEIRO BUENO PACHECO</t>
  </si>
  <si>
    <t>DPC6B97</t>
  </si>
  <si>
    <t>REF. A TRÊS CONSULTAS RASTER 7629407 - CAVALO DPC6B97 - MOT. VALDNEI APARECIDO NUNES - SOLIC. POR Marcelo Henrique Santos - TICKET 198467 - DIA 10-06-26</t>
  </si>
  <si>
    <t>REF. A TRÊS CONSULTAS RASTER 7629618 - CAVALO IGQ2977 - MOT. NILSON ROSA BOM - SOLIC. POR Sandro Barragana Martinez  - TICKET 198468 - DIA 10-06-26</t>
  </si>
  <si>
    <t>REF.A UMA LIB. DE AUTONOMO SKYMARK 3989402 - CAVALO GMX6I16 - MOT. PAULO SERGIO ALVES CUNHA - SOLIC. POR MATHEUS DE SOUSA TROTTA - TICKET 198469 - DIA 10-06-26</t>
  </si>
  <si>
    <t>REF. A TRÊS CONSULTAS RASTER 7630123 - CAVALO IIA1480 - MOT. HEBER RODRIGUEZ MUNIZ - SOLIC. POR Sandro Barragana Martinez - TICKET 198470 - DIA 10-06-26</t>
  </si>
  <si>
    <t>REF. A TRÊS CONSULTAS RASTER 7630138 - CAVALO AJS3G45 - MOT. DARWIN EDUARDO PINTOS VIERA JUNIIOR - SOLIC. POR Sandro Barragana Martinez - TICKET 198471 - DIA 10-06-26</t>
  </si>
  <si>
    <t>REF. A TRÊS CONSULTAS RASTER 7630144 - CAVALO IEG0G18 - MOT. GILMAR DIAS RAMOS - SOLIC. POR Sandro Barragana Martinez - TICKET 198472 - DIA 10-06-26</t>
  </si>
  <si>
    <t>RICARDO GOMES</t>
  </si>
  <si>
    <t>FDB5G09</t>
  </si>
  <si>
    <t>REF. A LIB. OPENTENCH - CAVALO FDB5G09 - MOT. RICARDO GOMES - SOLIC. POR Debora Morgado - TICKET 198475 - DIA 10-06-26</t>
  </si>
  <si>
    <t>REF. A LIB. OPENTENCH - CAVALO OVZ0E36 - MOT. MATHEUS NOGUEIRA DA SILVA - SOLIC. POR Debora Morgado - TICKET  198476 - DIA 10-06-26</t>
  </si>
  <si>
    <t>REF. A LIB. OPENTENCH - CAVALO DEI3J95 - MOT. JEFFERSON GANDOLFI - SOLIC. POR Debora Morgado - TICKET  198478 - DIA 10-06-26</t>
  </si>
  <si>
    <t>QUP5436</t>
  </si>
  <si>
    <t>REF. A UMA LIB. DE AUTONOMO SKYMARK 3989335 - CAVALO QUP5436 - MOT. SELIO FRANCISCO ALVES - SOLIC. POR  Matheus Andrade Ferreira - TICKET 198480 - DIA 10-06-26</t>
  </si>
  <si>
    <t>REF. A UMA LIB. DE AUTONOMO SKYMARK 3988831 - CAVALO OWL9232 - MOT. GEOVANE MESQUITA FERREIRA - SOLIC. POR  Matheus Andrade Ferreira - TICKET 198481 - DIA 10-06-26</t>
  </si>
  <si>
    <t>REF. A UMA LIB. DE AUTONOMO SKYMARK 3989816 - CAVALO TCM8F65 - MOT. WENDELL PEREIRA DO CARMO - SOLIC. POR  Valnei Ermelindo da Silva Junior - TICKET 198482- DIA 10-06-26</t>
  </si>
  <si>
    <t>REF A TRÊS CONSULTAS RASTER 7631366 CAVALO FUZ2H63 MOT. FELIPE DOS SANTOS BASTOSSOLIC. POR DANIEL TICKET  198488 DIA 10/06/2026</t>
  </si>
  <si>
    <t>RODOLFO MARQUES SOUZA</t>
  </si>
  <si>
    <t>REF A QUATRO PESQUISA SKYMARK 3989878-CAVALO DPE8G47MOT. RODOLFO MARQUES SOUZA SOLIC. POR ALESSANDRO TICKET 198489 DIA 10/06/2026</t>
  </si>
  <si>
    <t>REF A  TRÊS PESQUISAS SKYMARK 3989920CAVALO HHY4D56 MOT. TIAGO JUNIO DIAS ANDRADE SOLIC. POR ALESSANDRO TICKET  198490 DIA 10/06/2026</t>
  </si>
  <si>
    <t>REF A UMA RDO UMA PESQUISA OPENTECH CAVALO GKL0E65 MOT. REGINALDO ADRIANO BARBOSA SOLC. POR DEBORA TICKET 198492 DIA 10/06/2026</t>
  </si>
  <si>
    <t>REF A UMA PESQUISA SKYMARK 3990598CAVALO SHP8F13MOT. ELOIZIO BARROS DE OLIVEIRASOLIC. POR THAIS  TICKET  198493 DIA 10/06/2026</t>
  </si>
  <si>
    <t>GEANDERSON SILVA SOUSA</t>
  </si>
  <si>
    <t>MSW2H4</t>
  </si>
  <si>
    <t>REF A UMA RDO DUA PESQUISAS COMBO NORMAL RASTER 7629410 CAVALO MSW2H45 MOT. GEANDERSON SILVA SOUSA SOLIC. POR MATHEUS TICKET 198494 DIA 10/06/2026</t>
  </si>
  <si>
    <t>REF A  QUATRO PESQUISAS SKYMARK 3987475 CAVALO NUD0486 MOT. GERALDO AARAO LIMASOLIC. POR  MATHEUS TICKET 198497 DIA 10/06/2026</t>
  </si>
  <si>
    <t>ISAAC LOPES SEIXAS</t>
  </si>
  <si>
    <t>ITY5B38</t>
  </si>
  <si>
    <t>REF A UMA RDO UMA PESQUISA OPENCTEH CAVALO ITY5B38 MOT. ISAAC LOPES SEIXAS SOLIC. POR GABRIELA TICKET 198500 DIA 10/06/2026</t>
  </si>
  <si>
    <t>OSVALDO FREIRE PEREIRA</t>
  </si>
  <si>
    <t>EHH8C30</t>
  </si>
  <si>
    <t>REF A UMA RDO UMA PESQUISA OPENTECJ CAVALO EHH8C30 MOT.  OSVALDO FREIRE PEREIRASOLIC. POR GABRIELA TICKET 198504 DIA 10/06/2026</t>
  </si>
  <si>
    <t>REF A UMA RDO UMA PESQUISA OPENTECH CAVALO DVS9370 MOT. DANIEL AURELIANO GODOI SOLIC. POR  DEBORA TICKET 198508 DIA 10/06/2026</t>
  </si>
  <si>
    <t>REF A UMA CONSULTA SKYMARK 3991112 CAVALO EFO9B17MOT. MIGUEL APARECIDO PEREIRA FILHO SOLIC. POR VITOR HUGO TICKET 198511 DIA 10/06/2026</t>
  </si>
  <si>
    <t>LUAN RIBEIRO SILVA</t>
  </si>
  <si>
    <t>RPO5B32</t>
  </si>
  <si>
    <t>REF. A TRES PESQUISAS COMBO EXPRESSA RASTER 7631098 CAVALO RPO5B32 MOT. LUAN RIBEIRO SILVA SOLIC. POR FRANCSCO TICKET 198516 DIA 10/06/2026</t>
  </si>
  <si>
    <t>EMILIO DE ASSIS</t>
  </si>
  <si>
    <t>SYB4I87</t>
  </si>
  <si>
    <t>REF A DUAS CONSULTAS RASTER 7633344 CAVALO SYB4I87 MOT. EMILIO DE ASSISSOLIC. POR GABRIELA TICKET  198520 DIA 10/06/2026</t>
  </si>
  <si>
    <t>REF. A TRÊS CONSULTAS RASTER 7633512 CAVALO DTB9B29 MOT. SILVIO MARTINELLISOLIC. POR ADRIANA TICKET 198518 DIA 10/06/2026</t>
  </si>
  <si>
    <t>REFERENTE A 2 CONSULTAS RASTER Nº 7634040 - SOLICITAÇÃO CHRISTIAN - TICKET Nº 198525 - MOT. GABRIEL OLIVEIRA DE ALENCAR</t>
  </si>
  <si>
    <t>REFERENTE A 3 PESQUISAS NORMAL COMBO RASTER Nº 7629278 - SOLICITAÇÃO MATHEUS - TICKET Nº 198528 - MOT. SEBASTIAO DA CRUZ MARQUES</t>
  </si>
  <si>
    <t>REFERENTE A 3 CONSULTAS RASTER Nº 7637260 - SOLICITAÇÃO MATHEUS - TICKET Nº 198529 - MOT. PAULO JOSE DE ALMEIDA</t>
  </si>
  <si>
    <t>REFERENTE A 3 CONSULTAS RASTER Nº 7637284 - SOLICITAÇÃO MATHEUS - TICKET Nº 198531 - MOT. RONALDO TEODORO MACHADO</t>
  </si>
  <si>
    <t>DARWIN EDUARDO PINTOS VIEIRA</t>
  </si>
  <si>
    <t>BXC4G71</t>
  </si>
  <si>
    <t>REFERENTE A 1 PESQUISA AVULSA E 2 PESQUISA NORMAL COMBO RASTER Nº 7632705 - SOLICITAÇÃO SANDRO - TICKET Nº 198537 - MOT. DARWIN EDUARDO PINTOS VIEIRA</t>
  </si>
  <si>
    <t>REFERENTE A CONSULTA OPENTECH (CONJUNTO/MOT) - SOLICITAÇÃO DEBORA - TICKET Nº 198540 - MOT. ANTONIO APARECIDO KELLI</t>
  </si>
  <si>
    <t>REFERENTE A CONSULTA OPENTECH (CONJUNTO/MOT) - SOLICITAÇÃO DEBORA - TICKET Nº 198541 - MOT. DENIS ROBERTO CORDEIRO]</t>
  </si>
  <si>
    <t>REFERENTE A CONSULTA OPENTECH (CONJUNTO/MOT) - SOLICITAÇÃO DEBORA - TICKET Nº 198542 - MOT. DANIEL AURELIANO GODOI</t>
  </si>
  <si>
    <t>REFERENTE A CONSULTA OPENTECH (CONJUNTO/MOT) - SOLICITAÇÃO DEBORA - TICKET Nº 198543 - MOT. FLADEMIR CARLOS GODOI</t>
  </si>
  <si>
    <t>MAURICIO DUAIBS CARNEIRO NETO</t>
  </si>
  <si>
    <t>EHH7E92</t>
  </si>
  <si>
    <t>REFERENTE A 3 PESQUISAS EXPRESSAS COMBO RASTER Nº 7638061 - SOLICITAÇÃO DAVI - TICKET Nº 198547 - MOT. MAURICIO DUAIBS CARNEIRO NETO</t>
  </si>
  <si>
    <t>REFERENTE A 3 CONSULTAS RASTER Nº 7638482 - SOLICITAÇÃO DEBORA - TICKET Nº 198548 - MOT.  SANTIAGO DE JESUS DE SOUZA</t>
  </si>
  <si>
    <t>REFERENTE A CONSULTA OPENTECH (CONJUNTO/MOT) - SOLICITAÇÃO DEBORA - TICKET Nº 198556 - MOT. REGINALDO ADRIANO BARBOSA</t>
  </si>
  <si>
    <t>REFERENTE A CONSULTA OPENTECH (CONJUNTO/MOT) - SOLICITAÇÃO DEBORA - TICKET Nº 198557 - MOT. RAFAEL FONTINELE FROTA</t>
  </si>
  <si>
    <t>IVANOEL LEONARDO BATISTA DE ASSIS</t>
  </si>
  <si>
    <t>TPT7A44</t>
  </si>
  <si>
    <t>05.10</t>
  </si>
  <si>
    <t>REFERENTE A 2 PESQUISAS EXPRESSA COMBO 1 RDO RASTER Nº 7637555 - SOLICITAÇÃO DEBORA - TICKET Nº 198564 - MOT.IVANOEL LEONARDO BATISTA DE ASSIS</t>
  </si>
  <si>
    <t>REFERENTE A CONSULTA OPENTECH (CONJUNTO/MOT) - SOLICITAÇÃO DEBORA - TICKET Nº 198567 - MOT. CELIO FERREIRA GOMES</t>
  </si>
  <si>
    <t>REF. A UMA RDO UMA PESQUISA OPENTECH CAVALO MOT. ELOI DE CAMARGO REBOUCAS SOLIC. POR DEBORA TICKET 198566DIA 11/06/2026</t>
  </si>
  <si>
    <t>ALEXANDRO OLIVEIRA CESAR SACRAMENTO</t>
  </si>
  <si>
    <t>EBR3H01</t>
  </si>
  <si>
    <t>REF A DUAS PESQUISAS COMO EXPRESSA RASTER 7639798 CAVALO EBR3H01 MOT. ALEXANDRO OLIVEIRA CESAR SACRAMENTO SOLIC. POR RAFAEL TICKET 198569DIA 11/06/2026</t>
  </si>
  <si>
    <t>MARCUS VINICIUS COLOMBO DA SILVA</t>
  </si>
  <si>
    <t>REF . A UM RDO DUAS PESQUISAS COMBO EXPRESSA RASTER 7638733 CAVALO QIE6J40 MOT. MARCUS VINICIUS COLOMBO DA SILVA  SOLIC. POR DEBORA TICKET 198570 DIA 11/06/2026</t>
  </si>
  <si>
    <t>REF A DUAS  CONSULTAS RASTER 7640263 CAVALO FUZ2H63 MOT. FELIPE DOS SANTOS BASTOS SOLIC. POR DANIEL TICKET 198575DIA 11/06/2026</t>
  </si>
  <si>
    <t>REF A UMA RDO DUAS CONSULTAS RASTER 7640374 CAVALO GAC5C99 MOT. SIDINEI DA SILVA PEREIRA SOLIC. POR DANIEL TICKET 198298 DIA 11/06/2026</t>
  </si>
  <si>
    <t>TIAGO FERREIRA DA SILVA 101.336.486-48</t>
  </si>
  <si>
    <t>SJF4F28</t>
  </si>
  <si>
    <t>REF A UMA CONSULTA SKYMARK 3994142CAVALO SJF4F28 MOT. TIAGO FERREIRA DA SILVA 101.336.486-48SOLIC. POR JEAN TICKET 198577 DIA 11/06/2026</t>
  </si>
  <si>
    <t>ERICK VIEIRA PINTO</t>
  </si>
  <si>
    <t>EBL1114</t>
  </si>
  <si>
    <t>4.27</t>
  </si>
  <si>
    <t>REFERENTE A 2 PESQUISAS NORMAL COMBO RASTER Nº 7622046 - SOLICITAÇÃO WILLIAN - TICKET Nº 198580 - MOT. ERICK VIEIRA PINTO</t>
  </si>
  <si>
    <t>SIJ9E99</t>
  </si>
  <si>
    <t>REF A UM APESQUISA SKYMARK 3994147 CAVALO SIJ9E99 MOT. IRAN CARDOSO MACIEL SOLIC. POR JEAN TICKET  198578 DIA 11/06/2026</t>
  </si>
  <si>
    <t>SALATIEL DIAS LEITE</t>
  </si>
  <si>
    <t>SIQ6F50</t>
  </si>
  <si>
    <t>REFA UM APESQUISA SKYMARK 3994152 CAVALO SIQ6F50 MOT. SALATIEL DIAS LEITESOLIC. POR JEAN TICKET  198579 DIA 11/06/2026</t>
  </si>
  <si>
    <t>REFERENTE A PESQUISA SKYMARK Nº 3994193 - SOLICITAÇÃO MAURICIO - TICKET Nº 198853 - MOT. GERALDO ROSA FILHO</t>
  </si>
  <si>
    <t>REF A TRÊS CONSULTAS RASTER 7640580 CAVALO QJH1E91MOT. LEOMAR RAUPP CARDOSO SOLIC. POR ISMAEL TICKET 198584 DIA 11/06/2026</t>
  </si>
  <si>
    <t>THIAGO DE OLIVEIRA CORREA</t>
  </si>
  <si>
    <t>ELN6I30</t>
  </si>
  <si>
    <t>REF A UMA RDO UMA CONSULA RASTER 7640704CAVALO ELN6I30 MOT. THIAGO DE OLIVEIRA CORREASOLIC. POR DANIEL TICKET  198585 DIA 11/06/2026</t>
  </si>
  <si>
    <t>REF A UMA RDO UMA CONSULTA RASTER 7640882 CAVALO STI2H29 MOT. ELIAS ALEXANDRE MIRANDA SOLIC. POR DANIEL TICKET 198587 DIA 11/06/2026</t>
  </si>
  <si>
    <t>REF A DUAS CONSULTAS RASTER 7640906CAVALO IJD2103MOT. JADER MENDES DIAS SOLIC. POR SANDRO TICKET 198588 DIA 11/06/2026</t>
  </si>
  <si>
    <t>JOAO INACIO OLIVESKI</t>
  </si>
  <si>
    <t>NOO1D50</t>
  </si>
  <si>
    <t>REF A UMA RDO DUAS CONSULTAS RASTER 7640916 CAVALO NOO1D50 MOT. JOAO INACIO OLIVESKI SOLIC. POR DANIEL TICKET  198589 DIA 11/06/2026</t>
  </si>
  <si>
    <t>ALAN RAUL LOPES REINOSO</t>
  </si>
  <si>
    <t>NEY1F99</t>
  </si>
  <si>
    <t>REFERENTE A 3 CONSULTAS RASTER Nº 7641587 - SOLICITAÇÃO KERILIN - TICKET Nº 198595 - MOT. ALAN RAUL LOPES REINOSO</t>
  </si>
  <si>
    <t>DAVIDSON ADRIANO LINO DA SILVA</t>
  </si>
  <si>
    <t>HMQ0C24</t>
  </si>
  <si>
    <t>REF A UMA RDO UMA CONSULTA RASTER 7641673 CAVALO HMQ0C24 MOT. DAVIDSON ADRIANO LINO DA SILVA SOLIC. POR DANIEL TICKET  198596 DIA 11/06/2026</t>
  </si>
  <si>
    <t>EDELSON EUSEBIO PEREIRA</t>
  </si>
  <si>
    <t>REB0E13</t>
  </si>
  <si>
    <t>REFERENTE A 2 PESQUISA NORMAL COMBO 1 PESQUISA NORMAL AVULSA E 1 RDO RASTER Nº 7640715 - SOLICITAÇÃO GABRIEL - TICKET Nº  198598 - MOT. EDELSON EUSEBIO PEREIRA</t>
  </si>
  <si>
    <t>FELIPE MARQUES MORAES</t>
  </si>
  <si>
    <t>DVS3123</t>
  </si>
  <si>
    <t>REFERENTE A CONSULTA OPENTECH (CONJUNTO/MOT) - SOLICITAÇÃO DEBORA - TICKET Nº 198599 - MOT. FELIPE MARQUES MORAES</t>
  </si>
  <si>
    <t>REF A DUAS CONSULTAS RASTER 7642365CAVALO RNU2J78MOT. REGIS SOUZA DIAS FILHO SOLIC. POR CHRISTIAN TICKET 198602 DIA 11/06/2026</t>
  </si>
  <si>
    <t>REF A DUAS CONSULTAS RASTER 7642464 CAVALO ETM1F03 MOT. JOAO MIGUEL FILHOSOLIC. POR CHRISTIAN TICKET  198606 DIA 11/06/2026</t>
  </si>
  <si>
    <t>REFERENTE A PESQUISA SKYMARK Nº 3996332 - SOLICITAÇÃO MATHEUS - TICKET Nº 198626 - MOT. PAULO SERGIO ALVES CUNHA</t>
  </si>
  <si>
    <t>VALERIA REGINA BATISTA</t>
  </si>
  <si>
    <t>FLS4D64</t>
  </si>
  <si>
    <t>REFERENTE A 2 PESQUISAS NORMAL COMBO RASTER Nº 7647104 - SOLICITAÇÃO CHRISTIAN  - TICKET Nº 198630 - MOT. VALERIA REGINA BATISTA</t>
  </si>
  <si>
    <t>REFERENTE A 2 CONSULTAS RASTER Nº 7647608 - SOLICITAÇÃO CHRISTIAN - TICKET Nº 198633 - MOT. BENEDITO DARCY DOS SANTOS</t>
  </si>
  <si>
    <t>REFERENTE A 3 CONSULTAS RASTER Nº 7647794 - SOLICITAÇÃO ISMAEL - TICKET Nº 198635 - MOT. RODRIGO NUNES DA ROCHA</t>
  </si>
  <si>
    <t>REFERENTE A 2 PESQUISAS COMBO NORMAL RASTER Nº 7640865 - SOLICITAÇÃO DANIEL - TICKET Nº 198636 - MOT. DIOGO MARQUEZINO LOPES</t>
  </si>
  <si>
    <t>04.12</t>
  </si>
  <si>
    <t>REFERENTE A 1 PESQUISA AVULSA NORMAL 1 CONSULTA RASTER Nº 7647887 - SOLICITAÇÃO KERILIN - TICKET Nº 198639 - MOT. OSCAR DAVID GARMENDIA CORREA</t>
  </si>
  <si>
    <t>REFERENTE A CONSULTA SKYMARK Nº 3996841 - SOLICITAÇÃO ALESSANDRO - TICKET Nº 198640 - MOT. WANDERSON PIRES DA SILVA</t>
  </si>
  <si>
    <t>REFERENTE A CONSULTA SKYMARK Nº 3996853 - SOLICITAÇÃO ALESSANDRO - TICKET Nº 198641 - MOT. MARCOS GERALDO DE SOUZA</t>
  </si>
  <si>
    <t>JULIMAR LOPES DE SOUZA</t>
  </si>
  <si>
    <t>QQC0B53</t>
  </si>
  <si>
    <t>REFERENTE A PESQUISA SKYMARK (CONJUNTO/MOT) - SOLICITAÇÃO ALESSANDRO - TICKET Nº 198637 - MOT. JULIMAR LOPES DE SOUZA</t>
  </si>
  <si>
    <t>REFERENTE A CONSULTA SKYMARK Nº  3997126 - SOLICITAÇÃO ALESSANDRO - TICKET Nº 198642 - MOT. MICHAEL CAMPOS DE SOUSA</t>
  </si>
  <si>
    <t>REFERENTE A CONSULTA OPENTECH (CONJUNTO/MOT) - SOLICITAÇÃO DEBORA - TICKET Nº 198646 - MOT. RAFAEL FONTINELE FROTA</t>
  </si>
  <si>
    <t>REFERENTE A 2 CONSULTAS RASTER Nº 7648829 - SOLICITAÇÃO SANDRO - TICKET Nº  198648 - MOT. HEBER RODRIGUEZ MUNIZ</t>
  </si>
  <si>
    <t>REFERENTE A 3 CONSULTAS RASTER Nº 7648908 - SOLICITAÇÃO VALDIR - TICKET Nº 198649 - MOT. JOAO INACIO OLIVESKI</t>
  </si>
  <si>
    <t>REFERENTE A CONSULTA OPENTECH (CONJUNTO/MOT) - SOLICITAÇÃO DEBORA - TICKET Nº 198650 - MOT. FELIPE MARQUES MORAES</t>
  </si>
  <si>
    <t>REFERENTE A CONSULTA OPENTECH (CONJUNTO/MOT) - SOLICITAÇÃO DEBORA - TICKET Nº 198653 - MOT. JURACI ANTONIO FERREIRA DE SOUZA</t>
  </si>
  <si>
    <t>PAULO HENRIQUE DALFRE</t>
  </si>
  <si>
    <t>MTA3G67</t>
  </si>
  <si>
    <t>REFERENTE A CONSULTA OPENTECH (CONJUNTO/MOT) - SOLICITAÇÃO DEBORA - TICKET Nº 198655 - MOT. PAULO HENRIQUE DALFRE</t>
  </si>
  <si>
    <t>REFERENTE A 3 PESQUISAS NORMAL RASTER Nº 7649211 - SOLICITAÇÃO EDVAN - TICKET Nº 198672 - MOT. ADELTON SANTIAGO DE ALMEIDA</t>
  </si>
  <si>
    <t>REF. A TRÊS CONSULTAS RASTER 7650949 - CAVALO FUZ2H63 - MOT. FELIPE DOS SANTOS BASTOS - SOLIC. POR Daniel Fernando da Silva Siqueira Campos - TICKET 198675 - DIA 12-06-26</t>
  </si>
  <si>
    <t>REF. A TRÊS CONSULTAS RASTER 7651133 - CAVALO FUZ2H63 - MOT. FELIPE DOS SANTOS BASTOS - SOLIC. POR Daniel Fernando da Silva Siqueira Campos - TICKET 198677 - DIA 12-06-26</t>
  </si>
  <si>
    <t>THIAGO FELIPPE LEMOS VENS</t>
  </si>
  <si>
    <t>AVD6G44</t>
  </si>
  <si>
    <t>REF. A UMA PESQUISA AVULDA EXPRESSA UM ACONSULTA RASTER 7651023 CAVALO AVD6G44 MOT. THIAGO FELIPPE LEMOS VENS SOLIC. POR DANEL TICKET 198678 DIA 12/06/2026</t>
  </si>
  <si>
    <t>ADAO FERREIRA DOS SANTOS</t>
  </si>
  <si>
    <t>OLC6055</t>
  </si>
  <si>
    <t>REF A UMA RDO DUAS CONSULTAS RASTER 7648698 CAVALO OLC6055 MOT. ADAO FERREIRA DOS SANTOS SOLIC. POR UELDER TICKET 198680 DIA 12/06/2026</t>
  </si>
  <si>
    <t>MOACIR LAUBINS MARQUES</t>
  </si>
  <si>
    <t>ARC2I68</t>
  </si>
  <si>
    <t>REF A UMA RDO UMA PESQUISA OPENTECH CAVALO ARC2I68 MOT. MOACIR LAUBINS MARQUES SOLIC. POR GABRIELA TICKET  198681 DIA 12/06/2026</t>
  </si>
  <si>
    <t>EMERSON DOS SANTOS TEIXIERA</t>
  </si>
  <si>
    <t>JAO9C16</t>
  </si>
  <si>
    <t>REF A UMA RDO DUAS PESQUISAS COMBO NORMAL RASTER 7639502CAVALO JAO9C16 MOT. EMERSON DOS SANTOS TEIXIERA SOLIC. POR ANTONIO TICKET 198685 DIA 12/06/2026</t>
  </si>
  <si>
    <t>VALDIR ANTONIO GERMINO JUNIOR</t>
  </si>
  <si>
    <t>MTA2I50</t>
  </si>
  <si>
    <t>REF A UMA RDO DUAS PESQUISAS NORMAL AVULSA RASTER fcde8b88 CAVALO MTA2I50 MOT. VALDIR ANTONIO GERMINO JUNIOR SOLIC. POR MARCELLI TICKET 198686 DIA 12/06/2026</t>
  </si>
  <si>
    <t>REF A DUAS PESQUISAS SKYMARK 3999881 CAVALO EFO9B17 MOT. MIGUEL APARECIDO PEREIRA FILHO SOLIC. POR VOTOR HUGO TICKET 198687 DIA 12/06/2026</t>
  </si>
  <si>
    <t>EVANDRO FERREIRA FARIA</t>
  </si>
  <si>
    <t>ARN6D08</t>
  </si>
  <si>
    <t>REF A UMA RDO UMA PESQUISA AVULSA NORMAL RASTER 7651639 CAVALO ARN6D08 MOT. EVANDRO FERREIRA FARIA SOLIC. POR TIAGO TICKET 198691 DIA 12/06/2026</t>
  </si>
  <si>
    <t>RE. A UMA LIBERAÇÃO SKYMARK 4000157 CAVALO JCT8I15 MOT. ISAC RABELO BITTENCOURT SOLIC. POR  VALNEI TICKET 198693 DIA 12/06/2026</t>
  </si>
  <si>
    <t>REF. A TRÊS CONSULTAS RASTER 7652340 CAVALO LKJ3495 MOT. JULIO CESAR VIEIRA JUNIOR SOLIC. POR FRANCISCO TICKET 198696 DIA 12/06/2026</t>
  </si>
  <si>
    <t>REF. A TRÊS PESQUISAS NORMAL AVULSA RASTER 7649098 CAVALO CPR2F80 MOT. CLAUDIO JOSE DE SOUZASOLIC. POR MARCELO TICKET  198699 DIA 12/06/2026</t>
  </si>
  <si>
    <t>REF. A DUAS CONSULTAS RASTER 7658697 - CAVALO ETM1F03 - MOT. JOAO MIGUEL FILHO - SOLIC. POR Christian da Silva Fonseca - TICKET 198713 - DIA 14/06/2026</t>
  </si>
  <si>
    <t>NILTON JOSE DA SILVEIRA</t>
  </si>
  <si>
    <t>PJL1G58</t>
  </si>
  <si>
    <t>REF. A DOIS ITENS PESQ. COMBO NORMAL RASTER 7654393 - CAVALO PJL1G58 - MOT. NILTON JOSE DA SILVEIRA - SOLIC. POR Uelder Amorim Trabuco - TICKET 198714 - DIA 14/06/2026</t>
  </si>
  <si>
    <t>REF. A DUAS CONSULTAS RASTER 7658747 - CAVALO SYB4I87 - MOT. EMILIO DE ASSIS - SOLIC. POR Christian da Silva Fonseca - TICKET 198715 - DIA 14/06/2026</t>
  </si>
  <si>
    <t>REF. A DUAS CONSULTAS RASTER 7658821 - CAVALO RNU2J78 - MOT. REGIS SOUZA DIAS FILHO - SOLIC. POR Christian da Silva Fonseca - TICKET 198716 - DIA 14/06/2026</t>
  </si>
  <si>
    <t>Gilberto Joel Bohn</t>
  </si>
  <si>
    <t>JDG9C80</t>
  </si>
  <si>
    <t>REF. A LIB. SKYMARK 4003222 - CAVALO JDG9C80 - MOT. Gilberto Joel Bohn - SOLIC. POR Jean Anselmo Kaizer - TICKET  198718 - DIA 14/06/2026</t>
  </si>
  <si>
    <t>EVANILDO CARLOS FURTADO 110.680.686-71</t>
  </si>
  <si>
    <t>PZI7J14</t>
  </si>
  <si>
    <t>REF. A DOIS ITENS PESQ. COMBO NORMAL RASTER 7658772 - CAVALO PZI7J14 - MOT. EVANILDO CARLOS FURTADO 110.680.686-71 - SOLIC. POR Christian da Silva Fonseca - TICKET 198717 - DIA 14/06/2026</t>
  </si>
  <si>
    <t>REFERENTE A 3 CONSULTAS RASTER Nº 7659893 - SOLICITAÇÃO MATHEUS - TICKET Nº 198724 - MOT. SEBASTIAO DA CRUZ MARQUES</t>
  </si>
  <si>
    <t>REFERENTE A 3 PESQUISAS NORMAL COMBO RASTER Nº 7658766 - SOLICITAÇÃO UELDER - TICKET 198721 - MOT.  APARECIDO PEREIRA DOS SANTOS</t>
  </si>
  <si>
    <t>EUZEBIO BATISTA LIMA</t>
  </si>
  <si>
    <t>CFY1D02</t>
  </si>
  <si>
    <t>REFERENTE A 2 PESQUISAS NORMAL COMBO 1 RDO RASTER Nº 7654461 - SOLICITAÇÃO UELDER - TICKET Nº 198723 - MOT. EUZEBIO BATISTA LIMA</t>
  </si>
  <si>
    <t>REGINALDO DA SILVA MATIOLI</t>
  </si>
  <si>
    <t>AOZ0F03</t>
  </si>
  <si>
    <t>REFERENTE A 3 CONSULTAS RASTER Nº 7660632 - SOLICITAÇÃO MATHEUS - TICKET Nº 198739 - MOT. REGINALDO DA SILVA MATIOLI</t>
  </si>
  <si>
    <t>REFERENTE A CONSULTA SKYMARK Nº 4003727 - SOLICITAÇÃO ALESSANDRO - TICKET Nº 198740 - MOT. FRANK BRUNO ALVES PATROCINIO</t>
  </si>
  <si>
    <t>REFERENTE A CONSULTA OPENTECH (CONJUNTO/MOT) - SOLICITAÇÃO DEBORA - TICKET Nº 198741 - MOT. CELIO FERREIRA GOMES</t>
  </si>
  <si>
    <t>REFERENTE A CONSULTA OPENTECH (CONJUNTO/MOT) - SOLICITAÇÃO DEBORA - TICKET Nº 198744 - MOT. JEFFERSON GANDOLFI</t>
  </si>
  <si>
    <t>ANDERSON RODRIGO CALADO CALVO</t>
  </si>
  <si>
    <t>OCT7B24</t>
  </si>
  <si>
    <t>REFERENTE A 2 PESQUISAS NORMAL COMBO 1 RDO RASTER Nº 7653955 - SOLICITAÇÃO ANTONIO - TICKET Nº 198745 - MOT. ANDERSON RODRIGO CALADO CALVO</t>
  </si>
  <si>
    <t>REFERENTE A CONSULTA OPENTECH (CONJUNTO/MOT) - SOLICITAÇÃO DEBORA - TICKET Nº 198748 - MOT. HENRIQUE APARECIDO BERGAMASCO</t>
  </si>
  <si>
    <t>REFERENTE A 3 CONSULTAS RASTER Nº 7661279 - SOLICITAÇÃO MATHEUS - TICKET Nº 198750 - MOT. WALISSON FERNANDES DE SA</t>
  </si>
  <si>
    <t>REFERENTE A 3 CONSULTAS RASTER Nº 7661293 - SOLICITAÇÃO MATHEUS - TICKET Nº 198752 - MOT. RONALDO TEODORO MACHADO</t>
  </si>
  <si>
    <t>REFERENTE A 3 CONSULTAS RASTER Nº 7661312 - SOLICITAÇÃO MATHEUS - TICKET Nº 198753 - MOT. GEILSON APARECIDO FERREIRA</t>
  </si>
  <si>
    <t>REFERENTE A CONSULTA OPENTECH (CONJUNTO/MOT) - SOLICITAÇÃO DEBORA - TICKET Nº 198754 - MOT. FELIPE MARQUES MORAES</t>
  </si>
  <si>
    <t>REFERENTE A CONSULTA SKYMARK Nº 4004292 - SOLICITAÇÃO THAIS - TICKET Nº 198755 - MOT. GEOVANE MESQUITA FERREIRA</t>
  </si>
  <si>
    <t>WILY RIBEIRO</t>
  </si>
  <si>
    <t>REFERENTE A 2 CONSULTAS RASTER Nº 7661437 - SOLICITAÇÃO DANIEL - TICKET Nº 198757 - MOT. WILY RIBEIRO</t>
  </si>
  <si>
    <t>REFERENTE A 1 PESQUISA EXPRESSA 1 RDO RASTER Nº 7651600 - SOLICITAÇÃO DANIEL - TICKET Nº 198760 - MOT. ELIAS ALEXANDRE MIRANDA</t>
  </si>
  <si>
    <t>EZEQUIEL PEDROSO</t>
  </si>
  <si>
    <t>EJW2C53</t>
  </si>
  <si>
    <t>REFERENTE A 3 PESQUISAS EXPRESSA COMBO RASTER Nº 7659956 - SOLICITAÇÃO DEBORA - TICKET Nº 198762 - MOT. EZEQUIEL PEDROSO</t>
  </si>
  <si>
    <t>REFERENTE A 3 CONSULTAS RASTER Nº 7661981 - SOLICITAÇÃO DEBORA - TICKET Nº 198763 - MOT. FABIO EDUARDO ROSSI</t>
  </si>
  <si>
    <t>REFERENTE A 3 PESQUISAS EXPRESSA COMBO RASTER Nº 7661080 - SOLICITAÇÃO DEBORA - TICKET Nº 198764 - MOT. EDUARDO JESUS TOMAZINHO</t>
  </si>
  <si>
    <t>REFERENTE A 2 CONSULTAS RASTER Nº 7662525 - SOLICITAÇÃO RAFAEL - TICKET Nº 198771 - MOT. LUIS FABIO FREITAS CUNHA</t>
  </si>
  <si>
    <t>REFERENTE A CONSULTA OPENTECH (CONJUNTO/MOT) - SOLICITAÇÃO DEBORA - TICKET Nº 198774 - MOT. FABIO EDUARDO ROSSI</t>
  </si>
  <si>
    <t>FRANCISCO WELLINGTON FERREIRA JUNIOR</t>
  </si>
  <si>
    <t>REFERENTE A 3 CONSULTAS RASTER Nº 7650949 - SOLICITAÇÃO DANIEL - TICKET Nº 198775 - MOT. FRANCISCO WELLINGTON FERREIRA JUNIOR</t>
  </si>
  <si>
    <t>REFERENTE A 2 PESQUISAS EXPRESSA 1 NORMAL COMBO RASTER Nº 7660004 - SOLICITAÇÃO DEBORA - TICKET Nº 198778 - MOT. CLAUDINEI ROBERTO ROCHA</t>
  </si>
  <si>
    <t>REF A UMA CONSULTA UMAPESQUISA AVULSA NORMAL RASTER 7651026 CAVALO AVD6G44 MOT. THIAGO FELIPPE LEMOS VENS SOLIC. POR DANIEL TICKET 198777DIA 15/06/2026</t>
  </si>
  <si>
    <t>REF A UMA PESQUISA SKYMARK 4005362 CAVALO CPR2574 MOT. EDEMILSON EDSON GARCIASOLIC. POR  THAIS TICKET 198779 DIA 15/06/2026</t>
  </si>
  <si>
    <t>LUCIAN ALAN CARDOSO ALVES</t>
  </si>
  <si>
    <t>DKI3H23</t>
  </si>
  <si>
    <t>REF A UMA RDO DUS COMNSULTAS RASTER 7664074CAVALO DKI3H23 MOT. LUCIAN ALAN CARDOSO ALVESSOLIC. POR DANIEL TICKET 198790 DIA 15/06/2026</t>
  </si>
  <si>
    <t>REF A UMA RDO UMA CONSULTA RASTER 7664388CAVALO MHG9E73MOT. MARCOS ROBERTO DOS SANTOSSOLIC. POR DANIEL TICKET 198797DIA 15/06/2026</t>
  </si>
  <si>
    <t>REF A DUAS CONSULTAS RASTER 7664566 CAVALO ELN6I30 MOT. THIAGO DE OLIVEIRA CORREASOLIC. POR DANIEL TICKET 198800 DIA 15/06/2026</t>
  </si>
  <si>
    <t>REF A TRÊS CONSULTAS RASTER 7665539CAVALO GAC5C99MOT. SIDINEI DA SILVA PEREIRA SOLC. POR DANIEL TICKET   198813 DIA 150/06/2026</t>
  </si>
  <si>
    <t>REF A TRÊS CONSULTAS RASTER 7666131CAVALO BWU5C06MOT. LOURENCO LEITE DA COSTASOLIC. POR FRANCISCO TICKET 198821 DIA 15/06/2026</t>
  </si>
  <si>
    <t>REF A DUAS CONSULTAS RASTER 7666191CAVALO ARN6D08MOT. EVANDRO FERREIRA FARIA SOLIC. POR WILKER TICKET 198822 DIA 15/06/2026</t>
  </si>
  <si>
    <t>REF A UMA RDO UMA PESQUISA OPENTECH CAVALO GKL0E65 MOT. REGINALDO ADRIANO BARBOSA SOLIC. POR DANIEL TICKET 198823DIA 15/06/2026</t>
  </si>
  <si>
    <t>REF A TRêS CONSULTAS RASTER 7666554CAVALO MSH2C78MOT. LUIZ FERNANDES GUIMARAES SOLIC. POR FRANCISCO TICKET 198825 DIA 15/06/2026</t>
  </si>
  <si>
    <t>REF A UMA RDO UMA CONSULTA RASTER 7666851 CAVALO FRQ8G06 MOT. ROBSON ANDREY DE OLIVEIRA SOUZA SOLIC. POR  VALDIR TICKET 198827DIA 16/06/2026</t>
  </si>
  <si>
    <t>ANDERSON JOSE GOETTEN KOCH</t>
  </si>
  <si>
    <t>IBM2707</t>
  </si>
  <si>
    <t>REF A TRES PESQUISAS COMBO EXPRESSA RASTER 7665769 CAVALO IBM2707 MOT. ANDERSON JOSE GOETTEN KOCH SOLIC. POR FRANCISCO TICKET  198829 DIA 15/06/2026</t>
  </si>
  <si>
    <t>REFERENTE A 3 CONSULTAS RASTER Nº 7667191 - SOLICITAÇÃO FABIANA - TICKET Nº 198831 - MOT. FRANCISCO WELLINGTON FERREIRA JUNIOR</t>
  </si>
  <si>
    <t>REFERENTE A 2 CONSULTAS RASTER Nº  7667197 - SOLICITAÇÃO FABIANA - TICKET Nº 198832 - MOT. LUIZ HENRIQUE TAVARES PASSOS</t>
  </si>
  <si>
    <t>REFERENTE A 3 CONSULTAS RASTER Nº 7670030 - SOLICITAÇÃO FABIANA - TICKET Nº 198835 - MOT. LUCIAN ALAN CARDOSO ALVES</t>
  </si>
  <si>
    <t>WEMERSON RIBEIRO DA SILVA</t>
  </si>
  <si>
    <t>PWU6E26</t>
  </si>
  <si>
    <t>REFERENTE A 2 PESQUISA NORMAL COMBO 1 RDO RASTER Nº 7661621 - SOLICITAÇÃO MATHEUS - TICKET Nº 198839 - MOT. WEMERSON RIBEIRO DA SILVA</t>
  </si>
  <si>
    <t>JULIO CESAR LIMA DA SILVA</t>
  </si>
  <si>
    <t>DBM1H59</t>
  </si>
  <si>
    <t>REFERENTE A 2 PESQUISA NORMAL COMBO 1 RDO RASTER Nº 7661512 - SOLICITAÇÃO MATHEUS - TICKET Nº 198840 - MOT. JULIO CESAR LIMA DA SILVA</t>
  </si>
  <si>
    <t>REFERENTE A 3 CONSULTAS RASTER Nº 7670478 - SOLICITAÇÃO MATHEUS - TICKET Nº 198841 - MOT.  FABIO XAVES DE GODOY</t>
  </si>
  <si>
    <t>REFERENTE A 3 CONSULTAS RASTER Nº 7670493 - SOLICITAÇÃO MATHEUS - TICKET Nº 198842 - MOT. SILMARIO VITORINO DE ALMEIDA</t>
  </si>
  <si>
    <t>REFERENTE A 3 CONSULTAS RASTER Nº 7670503 - SOLICITAÇÃO MATHEUS - TICKET Nº 198843 - MOT.  PEDRO HENRIQUE ROQUE DE OLIVEIRA</t>
  </si>
  <si>
    <t>REFERENTE A 3 CONSULTAS RASTER Nº 7670509 - SOLICITAÇÃO MATHEUS - TICKET Nº 198844 - MOT. SEBASTIAO DA CRUZ MARQUES</t>
  </si>
  <si>
    <t>REFERENTE A 2 CONSULTAS RASTER Nº  7670692 - SOLICITAÇÃO DANIEL - TICKET Nº 198845 - MOT. MARCOS ROBERTO DOS SANTOS</t>
  </si>
  <si>
    <t>REFERENTE A 3 CONSULTAS RASTER Nº 7670767 - SOLICITAÇÃO DANIEL - TICKET Nº 198846 - MOT. SIDINEI DA SILVA PEREIRA</t>
  </si>
  <si>
    <t>REFERENTE A 2 CONSULTAS RASTER Nº 7670860 - SOLICITAÇÃO DANIEL - TICKET Nº 198848 - MOT. THIAGO DE OLIVEIRA CORREA</t>
  </si>
  <si>
    <t>REFERENTE A CONSULTA  SKYMARK Nº 4009506 - SOLICITAÇÃO ALESSANDRO - TICKET Nº 198859 - MOT. DOUGLAS ELIESER ALVARENGA</t>
  </si>
  <si>
    <t>REFERENTE A CONSULTA OPENTECH (CONJUNTO/MOT) - SOLICITAÇÃO DEBORA - TICKET Nº 198860 - MOT. DENIS ROBERTO CORDEIRO</t>
  </si>
  <si>
    <t>TIAGO PAULINO ALVES</t>
  </si>
  <si>
    <t>GXS1B58</t>
  </si>
  <si>
    <t>REFERENTE A CONSULTA SKYMARK Nº 4009665 - SOLICITAÇÃO ALESSANDRO - TICKET Nº 198863 - MOT. TIAGO PAULINO ALVES</t>
  </si>
  <si>
    <t>JCQ3E04</t>
  </si>
  <si>
    <t>REFERENTE A PESQUISA SKYMARK (CONJUNTO/MOT) Nº 4009622 - SOLICITAÇÃO JEAN - TICKET Nº 198864 - MOT. PEDRO IVAN DE CASTRO ALVES</t>
  </si>
  <si>
    <t>DAVID APARECIDO SILVA LOURENCO</t>
  </si>
  <si>
    <t>GFO5572</t>
  </si>
  <si>
    <t>REFERENTE A 2 CONSULTAS RASTER Nº 7672440 - SOLICITAÇÃO DANIEL - TICKET Nº 198874 - MOT. DAVID APARECIDO SILVA LOURENCO</t>
  </si>
  <si>
    <t>REFERENTE A CONSULTA SKYMARK Nº 4009771 - SOLICITAÇÃO THAIS - TICKET Nº 198873 - MOT. MIGUEL APARECIDO PEREIRA FILHO</t>
  </si>
  <si>
    <t>REFERENTE A 2 PESQUISAS NORMAL AVULSA RASTER Nº 7670899 - SOLICITAÇÃO DANIEL- TICKET Nº 198867 - MOT. VAGNER DE CARVALHO LINS</t>
  </si>
  <si>
    <t>GWT6H17</t>
  </si>
  <si>
    <t>REFERENTE A CONSULTA OPENTECH (CONJUNTO/MOT) - SOLICITAÇÃO DEBORA - TICKET Nº 198876 - MOT.  REGINALDO ADRIANO BARBOSA</t>
  </si>
  <si>
    <t>REFERENTE A CONSULTA SKYMARK Nº 4010224 - SOLICITAÇÃO THAIS - TICKET Nº 198877 - MOT. EDUARDO DE OLIVEIRA SILVA</t>
  </si>
  <si>
    <t>REF. A QUATRO CONSULTAS RASTER 7673378 - CAVALO FDE2F95 - MOT. JOSE FERNANDO DE MELO JUNIOR - SOLIC. POR  Debora Morgado - TICKET 198910 - DIA 16-06-2026</t>
  </si>
  <si>
    <t>EKH8A68</t>
  </si>
  <si>
    <t>REF. A TRÊS ITENS PESQ. COMBO NORMAL RASTER 7671749 - CAVALO EKH8A68 - MOT. FERNANDO DE SOUZA LOURENCO - SOLIC, POR Edvan Chagas de Souza - TICKET 198912 - DIA 16-06-2026</t>
  </si>
  <si>
    <t>FELIPE DA COSTA LEITE JARDIM</t>
  </si>
  <si>
    <t>IYV0462</t>
  </si>
  <si>
    <t>REF. DUAS CONSULTAS + RDO RASTER 7673698 - CAVALO IYV0462 - MOT. FELIPE DA COSTA LEITE JARDIM - SOLIC. POR Daniel Fernando da Silva Siqueira Campos - TICKET  198913 - DIA 16/06/2026</t>
  </si>
  <si>
    <t>REF. A TRÊS CONSULTAS RASTER 7674068 - CAVALO IIA1480 - MOT. HEBER RODRIGUEZ MUNIZ - SOLIC. POR Sandro Barragana Martinez - TICKET 198916 - DIA 16-06-26</t>
  </si>
  <si>
    <t>REF. A TRÊS CONSULTAS RASTER 7674081 - CAVALO IGQ2977 -MOT NILSON ROSA BOM - SOLIC. POR Sandro Barragana Martinez - TICKET 198917 - DIA 16-06-26</t>
  </si>
  <si>
    <t>REF. A TRÊS CONSULTAS RASTER 7674098 - CAVALO IJD2103 - MOT JADER MENDES DIAS - SOLIC. POR Sandro Barragana Martinez - TICKET 198918 - DIA 16/06/2026</t>
  </si>
  <si>
    <t>REF. A TRÊS CONSULTAS RASTER 7674126 - CAVALO IEG0G18 -MOT. GILMAR DIAS RAMOS - SOLIC. POR Sandro Barragana Martinez - TICKET 198920 - DIA 16-06-26</t>
  </si>
  <si>
    <t>REF. A TRÊS CONSULTAS RASTER 7674145 - CAVALO AJS3G45 - MOT. DARWIN EDUARDO PINTOS VIERA JUNIIOR - SOLIC. POR Sandro Barragana Martinez - TICKET 198921 - DIA 16-06-2026</t>
  </si>
  <si>
    <t>GILSON LUIZ PEREIRA LINO</t>
  </si>
  <si>
    <t>REF A UMA LIBERAÇÃO SKYMARK 4012134 CAVALO HMV4C65 MOT. GILSON LUIZ PEREIRA LINO SOLIC. POR ALESSANDRO TRORTA TICKET  198947 DIA 16/06/2026</t>
  </si>
  <si>
    <t>REF. A TRÊS CONSULTAS RASTER 7676336 CAVALO NLS8775 MOT. LUIZ CARLOS QUERINO SOLIC. POR FRANCISCO TICKET 198955 DIA 16/06/2026</t>
  </si>
  <si>
    <t>REF A TRêS CONSULTAS RASTER 7676815CAVALO DTB9B29 MOT. SILVIO MARTINELLI SOLIC. POR ADRIANA TICKET  198961 DIA 16/06/2026</t>
  </si>
  <si>
    <t>REFERENTE A CONSULTA OPENTECH (CONJUNTO/MOT) - SOLICITAÇÃO DEBORA - TICKET Nº 198964 - MOT. DENIS ROBERTO CORDEIRO</t>
  </si>
  <si>
    <t>REFERENTE A 3 CONSULTAS RASTER Nº  7677791 -SOLICITAÇÃO MATHEUS - TICKET Nº 198965  - MOT. TIAGO MARCIO GUALBERTO</t>
  </si>
  <si>
    <t>REFERENTE A 3 CONSULTAS RASTER Nº 7677799 - SOLICITAÇÃO MATHEUS - TICKET Nº 198966 - MOT. WENDER BRUZON DECOLO</t>
  </si>
  <si>
    <t>RILDO CARDOSO DE SOUZA</t>
  </si>
  <si>
    <t>IVP3B13</t>
  </si>
  <si>
    <t>REFERENTE A 2 PESQUISAS NORMAL COMBO 1 RDO RASTER Nº 7676783 - SOLICITAÇÃO ISMAEL - TICKET Nº 198968 - MOT. RILDO CARDOSO DE SOUZA</t>
  </si>
  <si>
    <t>REFERENTE A 3 CONSULTAS RASTER Nº  7678540 - SOLICITAÇÃO MATHEUS - TICKET Nº 198972 - MOT. MARCOS JUNIO DE FREITAS LAGE</t>
  </si>
  <si>
    <t>MARCIO MARQUES FABRICIO</t>
  </si>
  <si>
    <t>JBY3F29</t>
  </si>
  <si>
    <t>REFERENTE A 2 PESQUISAS NORMAL COMBO 1 CONSULTA RASTER Nº 7678461 - SOLICITAÇÃO ISMAEL - TICKET Nº 198977 - MOT. MARCIO MARQUES FABRICIO</t>
  </si>
  <si>
    <t>MARIO HENRIQUE CONTIERI SILVA</t>
  </si>
  <si>
    <t>CPI2837</t>
  </si>
  <si>
    <t>REF. A UM ITEM PESQ. COMBO EXPRESSA + RDO RASTER 7679225 - CAVALO CPI2837 - MOT. MARIO HENRIQUE CONTIERI SILVA - SOLIC. POR Debora Morgado - TICKET 198992 - DIA 17-06-2026</t>
  </si>
  <si>
    <t>CASSIO SOUSA CAMPOS</t>
  </si>
  <si>
    <t>TCV2B62</t>
  </si>
  <si>
    <t>REF A QUATRO LIBERAÇÕES SKYMARK 4014019 CAVALO TCV2B62MOT. CASSIO SOUSA CAMPOSSOLIC. POR ALESSANDRO TICKET 198991 DIA 17/06/2026</t>
  </si>
  <si>
    <t>REF A DUAS CONSULTAS RASTER 7682245 CAVALO RNU2J78 MOT. REGIS SOUZA DIAS FILHOSOLIC. POR CHRISTINA TICKET 199007DIA 17/06/2026</t>
  </si>
  <si>
    <t>ADAO FERNANDES</t>
  </si>
  <si>
    <t>REF A UMA RDO DUAS PESQUISAS COMBO EXPRESSA RASTER 7681257CAVALO DBC4526MOT. ADAO FERNANDES  SOLIC. POR 199014 DIA 17/06/2026</t>
  </si>
  <si>
    <t>REF A UMA LIBERAÇÃO SKYMARK 4015162CAVALO RVK3J02MOT. NEIMAR SILVA DO CARMOSOLIC. POR VALNEI TICKET  199022 DIA 17/06/2026</t>
  </si>
  <si>
    <t>VINICIUS DIMAS DE SOUZA LOPES</t>
  </si>
  <si>
    <t>HFK4958</t>
  </si>
  <si>
    <t>REF A TRES PESQUISAS EXPRESSA RASTER 7674598 CAVALO HFK4958 MOT. VINICIUS DIMAS DE SOUZA LOPES SOLIC. POR FRANCISCO TICKET 199030 DIA 17/06/2026</t>
  </si>
  <si>
    <t>REF A DUAS CONSULTAS RASTER 7684004 CAVALO ARN6D08 MOT. EVANDRO FERREIRA FARIA SOLIC. POR TIAGO TICKET 199031 DIA 17/06/2026</t>
  </si>
  <si>
    <t>REFERENTE A CONSULTA OPENTECH (CONJUNTO/MOT) - SOLICITAÇÃO DEBORA - TICKET Nº 199034 - MOT. REGINALDO ADRIANO BARBOSA</t>
  </si>
  <si>
    <t>REFERENTE A 3 CONSULTAS RASTER Nº 7687564 - SOLICITAÇÃO DEBORA - TICKET Nº 199035 - MOT. LUIS ANTONIO MENDES SANTOS</t>
  </si>
  <si>
    <t>REFERENTE A 3 PESQUISAS NORMAL COMBO RASTER Nº 7673669 - SOLICITAÇÃO MATHEUS  - TICKET Nº 199040 - MOT. LUIS FILIPE ANDRADE ALVES</t>
  </si>
  <si>
    <t>REFERENTE A 3 CONSULTAS RASTER Nº 7687796 - SOLICITAÇÃO MATHEUS - TICKET Nº  199042 - MOT. JOAO BATISTA ALVES OOZ2410</t>
  </si>
  <si>
    <t>REFERENTE A CONSULTA SKYMARK Nº 4016024 - SOLICITAÇÃO ALESSANDRO - TICKET Nº 199044 - MOT. GILSON LUIZ PEREIRA LINO</t>
  </si>
  <si>
    <t>REFERENTE A  3  CONSULTAS RASTER Nº 7687929 - SOLICITAÇÃO MATHEUS - TICKET Nº 199045 - MOT GEILSON APARECIDO FERREIRA</t>
  </si>
  <si>
    <t>REFERENTE A 3 PESQUSIAS NORMAL COMBO RASTER Nº  7671214 - SOLICITAÇÃO MATHEUS - TICKET Nº 199046 - MOT. WARLEY PIRES DA SILVA</t>
  </si>
  <si>
    <t>REFERENTE A 3 CONSULTAS RASTER Nº 7688096 - SOLICITAÇÃO MATHEUS - TICKET Nº 199050 - MOT. WALISSON FERNANDES DE SA</t>
  </si>
  <si>
    <t>REFERENTE A CONSULTA SKYMARK Nº 4016210 - SOLICITAÇÃO MATHEUS - TICKET Nº 199051 - MOT. JOSE SILVANIR DA SILVA</t>
  </si>
  <si>
    <t>REFERENTE A 2 CONSULTAS RASTER Nº 7688553 - SOLICITAÇÃO DANIEL - TICKET Nº 199052 - MOT. ALEX RODRIGO NASCIMENTO DE AZEVEDO</t>
  </si>
  <si>
    <t>REFERENTE A 3 PESQUISAS EXPRESSA COMBO RASTER Nº 7688431 - SOLICITAÇÃO DEBORA - TICKET Nº 199055 - MOT. DAVI APARECIDO MONTEIRO</t>
  </si>
  <si>
    <t>REFERENTE A 3 CONSULTAS RASTER Nº 7689156 - SOLICITAÇÃO KERILIN - TICKET Nº 199060 - MOT. ARTULINO VANDERLEI DA CRUZ</t>
  </si>
  <si>
    <t>REFERENTE A CONSULTA SKYMARK Nº 4016680 - SOLICITAÇÃO THAIS - TICKET Nº 199061 -  MOT. EDEMILSON EDSON GARCIA</t>
  </si>
  <si>
    <t>KEVEN HORTELAO GUIMARAES</t>
  </si>
  <si>
    <t>FFA7H71</t>
  </si>
  <si>
    <t>REFERENTE A 3 CONSULTAS RASTER Nº 7689222 - SOLICITAÇÃO DANIEL - TICKET Nº 199062 - MOT. KEVEN HORTELAO GUIMARAES</t>
  </si>
  <si>
    <t>REFERENTE A 1 CONSULTA 1 PESQUISA NORMAL E 1 PESQUISA EXPRESSA AVULSAS RASTER Nº 7682033 - SOLICITAÇÃO MARCELO - TICKET Nº 199071 - MOT. ROGERIO FONTES</t>
  </si>
  <si>
    <t>ROBERVAL GOMES DO NASCIMENTO</t>
  </si>
  <si>
    <t>REFERENTE A 2 CONSULTAS RASTER Nº 7689396 - SOLICITAÇÃO DANIEL - TICKET Nº 199063 - MOT. ROBERVAL GOMES DO NASCIMENTO</t>
  </si>
  <si>
    <t>REF A DUAS CONSULTAS RASTER 7689454 CAVALO KRF5I29MOT. ROBSON ANDREY DE OLIVEIRA SOUZASOLI. POR DANIEL TICKET  199083 DIA 18/06/2026</t>
  </si>
  <si>
    <t>FJQ1I72</t>
  </si>
  <si>
    <t>REF A QUATRO LIBERAÇÕES SKYMARK 4016847  CAVALO FJQ1I72 MOT. SILVIO ANDRE MARTINS DOS SANTOS  SOLIC. POR ALESSANDRO TICKET 199085 DIA 18/06/2026</t>
  </si>
  <si>
    <t>HOMERO GONCALVES</t>
  </si>
  <si>
    <t>GFU5A58</t>
  </si>
  <si>
    <t>REFERENTE A 2 CONSULTAS RASTER Nº 7691883 - SOLICITAÇÃO VALDIR - TICKET Nº 199089 - MOT. HOMERO GONCALVES</t>
  </si>
  <si>
    <t>REF A TRES CONSULTAS RASTER 7692637 CAVALO LKJ3495 MOT. JULIO CESAR VIEIRA JUNIOR SOLIC. POR FRANCISCO TICKET 199100 DIA 18/06/2026</t>
  </si>
  <si>
    <t>REF. A TRÊS CONSULTAS RASTER 7695672 - CAVALO OPB3B51 - MOT. SILMARIO VITORINO DE ALMEIDA - SOLIC. POR MATHEUS DE SOUSA TROTTA - TICKET 199105 - DIA 19-06-2026</t>
  </si>
  <si>
    <t>WILLIAM GOMES</t>
  </si>
  <si>
    <t>QMW5H78</t>
  </si>
  <si>
    <t>REFERENTE A 2 PESQUISAS NORMAL COMBO 1 RDO RASTER Nº 7688675 - SOLICITAÇÃO MATHEUS - TICKET Nº 199104 - MOT. WILLIAM GOMES</t>
  </si>
  <si>
    <t>PEDRO HENRIQUE MENDES DE AMORIM</t>
  </si>
  <si>
    <t>LRZ3A43</t>
  </si>
  <si>
    <t>REF. DUAS CONSULTAS + RDO RASTER 7675911 - CAVALO LRZ3A43 - MOT. PEDRO HENRIQUE MENDES DE AMORIM - SOLIC. POR Daniel Fernando da Silva Siqueira Campos - TICKET 199107 - DIA 19-06-2026</t>
  </si>
  <si>
    <t>CLAUDIO FARIA DE SOUZA</t>
  </si>
  <si>
    <t>NLP7F76</t>
  </si>
  <si>
    <t>REF. A UMA LIB. DE AUTONO SKYMARK 4018860 - CAVALO NLP7F76 - MOT. CLAUDIO FARIA DE SOUZA - SOLIC. POR Denilson Ribeiro de Rezende - SOLIC. TICKET 199108  - DIA 19-06-2026</t>
  </si>
  <si>
    <t>REFERENTE A 3 CONSULTAS RASTER Nº 7695684 - SOLICITAÇÃO MATHEUS - TICKET Nº 199106 - MOT. RONALDO TEODORO MACHADO</t>
  </si>
  <si>
    <t>LUIS MARTINHO JORDÃO</t>
  </si>
  <si>
    <t>REFERENTE A 3 PESQUISAS COMBO EXPRESSA RASTER Nº 7695834 - SOLICITAÇÃO DEBORA - TICKET Nº 199110 - MOT. LUIS MARTINHO JORDÃO</t>
  </si>
  <si>
    <t>REF. A DUAS CONSULTAS RASTER 7695986 - CAVALO IIA1480 - MOT. HEBER RODRIGUEZ MUNIZ - SOLIC. POR Sandro Barragana Martinez - TICKET  199111 - DIA 19-06-2026</t>
  </si>
  <si>
    <t>REF. A UM ITEM PESQ. AVULSA NORMAL + UMA CONSULTA RASTER 7695972 - CAVALO IGQ2977 - MOT. NILSON ROSA BOM - SOLIC. POR Sandro Barragana Martinez - TICKET 199113 - DIA 19-06-2026</t>
  </si>
  <si>
    <t>JOSELITO RIBEIRO DOS SANTOS</t>
  </si>
  <si>
    <t>JXA3005</t>
  </si>
  <si>
    <t>REFERENTE A 2 PESQUISAS EXPRESSA 1 RDO RASTER Nº 7691842 - SOLICITAÇÃO DANIEL - TICKET Nº 199116 - MOT. JOSELITO RIBEIRO DOS SANTOS</t>
  </si>
  <si>
    <t>REF. A DUAS CONSULTAS RASTER 7696457 - CAVALO IYV0462 - MOT. FELIPE DA COSTA LEITE JARDIM - SOLIC. POR Daniel Fernando da Silva Siqueira Campos - TICKET 199118 - DIA 19-06-2026</t>
  </si>
  <si>
    <t>TCF6G99</t>
  </si>
  <si>
    <t>REF. A UMA LIB. DE AUTONOMO SKYMARK 4018953 - CAVALO TCF6G99 - MOT. CASSIO SOUSA CAMPOS - SOLIC. POR Alessandro Lagares Ferreira - TICKET 199125 - DIA 19-06-2026</t>
  </si>
  <si>
    <t>RAFAEL MATOS FERREIRA</t>
  </si>
  <si>
    <t>REFERENTE A 2 CONSULTAS RASTER Nº 7697245 - SOLICITAÇÃO  DANIEL - TICKET Nº 199126 - MOT. RAFAEL MATOS FERREIRA</t>
  </si>
  <si>
    <t>REFERENTE A CONSULTA SKYMARK Nº 4020326 - SOLICITAÇÃO ALESSANDRO - TICKET Nº 199148 - MOT. DOUGLAS ELIESER ALVARENGA</t>
  </si>
  <si>
    <t>RAPHAEL ALVES DE OLIVEIRA</t>
  </si>
  <si>
    <t>PDH8C88</t>
  </si>
  <si>
    <t>REFERENTE A 1 PESQUISA AVULSA NORMAL E 1 PESQUISA EXPRESSA COMBO RASTER Nº 7655065 - SOLICITAÇÃO  DANIEL - TICKET Nº 199149 - MOT. RAPHAEL ALVES DE OLIVEIRA</t>
  </si>
  <si>
    <t>REF A UMA RDO UMA PESQUISA OPENTECH CAVALO AJC1F73 MOT. TADEU MADORNADOSOLIC. POR THAIS TICKET 199150 DIA 19/06/2026</t>
  </si>
  <si>
    <t>ALVANI CORDEIRO PAES</t>
  </si>
  <si>
    <t>ECT1B42</t>
  </si>
  <si>
    <t>REF A FUAS PESQUISAS EXPRESSA RASTER 7655162 CAVALO ECT1B42 MOT. ALVANI CORDEIRO PAES SOLIC. POR  DANIEL TICKET 199153 DIA 19/06/2026</t>
  </si>
  <si>
    <t>WEMERSON VASCONCELOS FERNANDES</t>
  </si>
  <si>
    <t>HBN8B58</t>
  </si>
  <si>
    <t>REFERENTE A 3 PESQUISAS NORMAL COMBO RASTER Nº 7696802 - SOLICITAÇÃO EDVAN - TICKET Nº 199154 - MOT. WEMERSON VASCONCELOS FERNANDES</t>
  </si>
  <si>
    <t>MATEUS JOSE DA SILVA MACHADO</t>
  </si>
  <si>
    <t>RLJ4F76</t>
  </si>
  <si>
    <t>REF A UMA RDO DUAS PESQUISA  AVULSA NORMAL  RASTER 7692195 CAVALO RLJ4F76MOT. MATEUS JOSE DA SILVA MACHADO SOLIC. POR THAIS TICKET 199160 DIA 19/06/2026</t>
  </si>
  <si>
    <t>REF A UMA PESQUISA  SKYMARK  4020631 CAVALO RLJ4F76MOT. MATEUS JOSE DA SILVA MACHADO SOLIC. POR THAIS TICKET 199160 DIA 19/06/2026</t>
  </si>
  <si>
    <t>DAILTON NOGUEIRA ANDRADE</t>
  </si>
  <si>
    <t>REF A TRES PESQUISAS  COMBO NORMAL RASTER 7690756CAVALO JSY8F44MOT. DAILTON NOGUEIRA ANDRADESOLIC. POR EDVAN TICKET  199155 DIA 19/06/2026</t>
  </si>
  <si>
    <t>NKC0D61</t>
  </si>
  <si>
    <t>REF A QUATRO LIBERAÇÃOES SKYMARK 4021385  CAVALO NKC0D61MOT. RODOLFO MARQUES SOUZA SOLIC. POR ALESSANDRO TICKET 199168 DIA 20/06/2026</t>
  </si>
  <si>
    <t>REF A UMA LIBERAÇÃO SKYMARK 4021414 CAVALO PWA3A95MOT. MARCOS RICARDO GONÇALVES SOLIC. POR  ALESSANDRO TICKET 199169 DIA 20/06/2026</t>
  </si>
  <si>
    <t>REF. A TRES CONSULTAS  RASTER 7704266 CAVALO DTB9B29 MOT. SILVIO MARTINELLI SOLIC. POR ADRIANA TICKET 199170 DIA 20/06/2026</t>
  </si>
  <si>
    <t>REF A DUAS CONSULTAS RASTER 7704811 CAVALO ARN6D08 MOT. EVANDRO FERREIRA FARIA SOLIC, POR TIAGO TICKET 199171 DIA 20/06/2026</t>
  </si>
  <si>
    <t>REF A UMA LIBERAÇÃO SKYMARK CAVALO HMV4C65  MOT. GILSON LUIZ PEREIRA LINO  SOLIC. POR MATHEUS TICKET 199174 DIA 20/06/2026</t>
  </si>
  <si>
    <t>REF A DUAS CONSULTAS RASTER 7705204 CAVALO LRO7J88 MOT. WILY RIBEIRO SOLIC. POR  LORIS TICKET 199175 DIA 20/06/2026</t>
  </si>
  <si>
    <t>REF A DUAS CONSULTAS RASTER 7705338 CAVALO STI2H29 MOT. ELIAS ALEXANDRE MIRANDA SOLIC. POR LORIS TICKET 199176 DIA 20/06/2026</t>
  </si>
  <si>
    <t>REF A UMA LIBERAÇÃO SKYMARK 4022268 CAVALO OPT5502 MOT. JOSE CARLOS DE FREITAS - OWL9232 SOLIC. POR VALNEI TOCKET 199179 DIA 21/06/2026</t>
  </si>
  <si>
    <t>REFERENTE A CONSULTA SKYMARK Nº 4022499  - SOLICITAÇAO JEAN - TICKET Nº 199185 - MOT. WENDELL PEREIRA DO CARMO</t>
  </si>
  <si>
    <t>REFERENTE A CONSULTA SKYMARK Nº 4023197 - SOLICITAÇÃO ALESSANDRO - TICKET Nº 199198 - MOT. PEDRO EMANUEL DAMASCENO GOMES SILVA</t>
  </si>
  <si>
    <t>ROBSON LAURINDO ZEGLEN</t>
  </si>
  <si>
    <t>GDI7B41</t>
  </si>
  <si>
    <t>REF. A DOIS ITENS PESQ. COMBO EXPRESSA + RDO RASTER 7697556 - CAVALO GDI7B41 - MOT. ROBSON LAURINDO ZEGLEN - SOLCI. POR Uelder Amorim Trabuco VIA E-MAIL DIA 22-06-2026</t>
  </si>
  <si>
    <t>NOEL DOS SANTOS FERREIRA</t>
  </si>
  <si>
    <t>EFV4423</t>
  </si>
  <si>
    <t>REF. A LIB. SKYMARK 4023523 - CAVALO EFV4423 - MOT. NOEL DOS SANTOS FERREIRA - SOLIC. POR Denilson Rezende- VIA E-MAIL DIA 22-06-2026</t>
  </si>
  <si>
    <t>REF A UMA LIBERAÇÃO SKYMARK 4023837CAVALO PPG9G24MOT MICHAEL CAMPOS DE SOUSASOLIC. POR ALESSANDRO VIA E-MAIL DIA 22/06/2026</t>
  </si>
  <si>
    <t>TAYRONE FERNANDO ALVES</t>
  </si>
  <si>
    <t>REFERENTE A PESQUISA SKYMARK (CONJUNTO/MOT) Nº 4024312 - SOLICITAÇÃO ALESSANDRO - EMAIL - MOT. TAYRONE FERNANDO ALVES</t>
  </si>
  <si>
    <t>LUCAS GUSTAVO MARTINS DOS REIS</t>
  </si>
  <si>
    <t>EHH9A77</t>
  </si>
  <si>
    <t>REF A TRES LIBERAÇÕES SKYMARK 4024675 CAVALO EHH9A77MOT. LUCAS GUSTAVO MARTINS DOS REIS SOLIC. POR ALESSANDRO VIA E-MAIL DIA 22/06/2026</t>
  </si>
  <si>
    <t>JOSE SALVADOR GUIMARAES BICALHO</t>
  </si>
  <si>
    <t>REF. A UMA LIBERAÇÃO SKYMARK 4024655CAVALO HMV4E28MOT. JOSE SALVADOR GUIMARAES BICALHO SOLIC. POR ROBERTA VIA E-MAIL DIA 22/06/2026</t>
  </si>
  <si>
    <t>REFERENTE A 3 PESQUISAS EXPRESSAS AVULSAS RASTER Nº 7715671 - SOLICITAÇÃO FRANCISCO - EMAIL - MOT. FABIO ALEXANDRE FINCO</t>
  </si>
  <si>
    <t>JOSE LUIZ DA SILVA DTD3H75</t>
  </si>
  <si>
    <t>DTD3H75</t>
  </si>
  <si>
    <t>06.20</t>
  </si>
  <si>
    <t>REF A TRES LIBERAÇÕES SKYMARK 4024401 CAVALO DTD3H75MOT. JOSE LUIZ DA SILVA DTD3H75 SOLIC. POR  MATHEUS VIA E-MAIL DIA 22/06/2026</t>
  </si>
  <si>
    <t>REF A UMA LIBERAÇÃO SKYMARK 4025021CAVALO EFO9B17MOT. MIGUEL APARECIDO PEREIRA FILHOSOLIC. POR VITOR MAIA VIA E-MAIL DIA 22/06/2026</t>
  </si>
  <si>
    <t>LUCAS ANDRADE NEGREIROS</t>
  </si>
  <si>
    <t>UEB3F27</t>
  </si>
  <si>
    <t>REFERENTE A 1 PESQUISA EXPRESSA COMBO 1 RDO RASTER Nº 7681871 - SOLICITAÇÃO DANIEL - TICKET Nº 199264 - MOT.  LUCAS ANDRADE NEGREIROS</t>
  </si>
  <si>
    <t>FABIANA LIMA LOPES</t>
  </si>
  <si>
    <t>REF. A LIB. SKYMARK 4026002 - CAVALO NLP7F76 - MOT. FABIANA LIMA LOPES - SOLIC. POR Denilson Ribeiro de Rezende - TICKET 199292 - DIA 23-06-2026</t>
  </si>
  <si>
    <t>RAFAEL REIS DA SILVA</t>
  </si>
  <si>
    <t>ECM3G16</t>
  </si>
  <si>
    <t>REF. A TRÊS ITENS PESQ. COMBO EXPRESSA RASTER 7715153 - CAVALO ECM3G16 - MOT. RAFAEL REIS DA SILVA - SOLIC. POR Davi Willian dos Santos Veiga - TICKET 199280 - DIA 23-06-2026</t>
  </si>
  <si>
    <t>REF. A TRÊS CONSULTAS RASTER 7715671 - CAVALO MGA0G57 - MOT. FABIO ALEXANDRE FINCO - SOLIC. POR Francisco Silviano da Silva - TICKET 199265 - DIA 23-06-2026</t>
  </si>
  <si>
    <t>REF. A TRÊS CONSULTAS RASTER 7723475 - CAVALO FLT2G09 - MOT. ROBERTO KOLOGESKI COUTINHO - SOLIC. POR Debora Morgado - TICKET 199298 - DIA 23-06-2026</t>
  </si>
  <si>
    <t>REFERENTE A 2 PESQUISAS EXPRESSAS COMBO RASTER Nº 7723648 - SOLICITAÇÃO VALMIR - TICKET Nº  199302 - MOT. ANTONIO SANTOS DA SILVA</t>
  </si>
  <si>
    <t>HELIO CARDOSO DA COSTA JUNIOR</t>
  </si>
  <si>
    <t>FWA0A45</t>
  </si>
  <si>
    <t>REFERENTE A 2 PESQUISAS NORMAL COMBO 1 RDO RASTER Nº 7722741 - SOLICITAÇÃO DEBORA - TICKET Nº 199304 - MOT. HELIO CARDOSO DA COSTA JUNIOR</t>
  </si>
  <si>
    <t>AMARILDO DE AVELAR PEREIRA</t>
  </si>
  <si>
    <t>TZR7H60</t>
  </si>
  <si>
    <t>REFERENTE A 1 PESQUISA NORMAL AVULSA RASTER Nº 7722971 - SOLICITAÇÃO GUSTAVO - TICKET Nº 199309 - MOT. AMARILDO DE AVELAR PEREIRA</t>
  </si>
  <si>
    <t>EDISON DE CARVALHO LINS</t>
  </si>
  <si>
    <t>SUI7H78</t>
  </si>
  <si>
    <t>REFERENTE A 1  CONSULTA 1 PESQUISA AVULSA EXPRESSA RASTER Nº 7723442 - SOLICITAÇÃO DANIEL - TICKET Nº 199310 - MOT. EDISON DE CARVALHO LINS</t>
  </si>
  <si>
    <t>REF. A DUAS CONSULTAS RASTER 7725478 - CAVALO SYB4I87 - MOT. EMILIO DE ASSIS - SOLIC. POR Christian da Silva Fonseca - TICKET 199313 - DIA 23-06-2026</t>
  </si>
  <si>
    <t>CRISTIANO GODINHO DA SILVA</t>
  </si>
  <si>
    <t>ETU5G89</t>
  </si>
  <si>
    <t>REF A TRES PESQUISAS COMBO NORMAL RASTER 7725609 CAVALO ETU5G89 MOT. CRISTIANO GODINHO DA SILVASOLIC. POR MARCELLI TICKET 199322 DIA 23/06/2026</t>
  </si>
  <si>
    <t>REF A UMA LIBEERAÇÃO SKYMARK 4027608CAVALO DTD3H75 MOT. JOSE LUIZ DA SILVA DTD3H75SOLIC. POR MATHEUS TROTTA TICKET 199324 DIA 23/06/2026</t>
  </si>
  <si>
    <t>REF A DUAS PESQUISAS COMBO EXPRESSA RASTER 7726157 CAVALO GVP5E96 MOT. RAFAEL DA SILVA OLIVEIRA SOLIC. POR FRANCISCO TICKET 199327DIA 23/06/2026</t>
  </si>
  <si>
    <t>VANDERLEI BARBOSA DE SOUZA</t>
  </si>
  <si>
    <t>DBC0J43</t>
  </si>
  <si>
    <t>REF A TRES PESQUISAS COMBO EXPRESSA RASTER 7727254 CAVALO DBC0J43MOT. VANDERLEI BARBOSA DE SOUZASOLIC. POR FRANCISCO TICKET 199328 DIA 23/06/2026</t>
  </si>
  <si>
    <t>REFERENTE A 2 CONSULTAS RASTER Nº 7731371 - SOLICITAÇÃO WILKER - TICKET Nº 199331 - MOT. EVANDRO FERREIRA FARIA</t>
  </si>
  <si>
    <t>REFERENTE A 3 CONSULTAS RASTER Nº 7731471- SOLICITAÇÃO MATHEUS - TICKET Nº 199332 - MOT. JOSE LUIZ DA SILVA DTD3H75</t>
  </si>
  <si>
    <t>REFERENTE A 3 CONSULTAS RASTER Nº 7731483 - SOLICITAÇAO MATHEUS - TICKET Nº 199333 - MOT. GEILSON APARECIDO FERREIRA</t>
  </si>
  <si>
    <t>REFERENTE A 2 CONSULTAS RASTER Nº 7731486 - SOLICITAÇÃO LORIS - TICKET Nº 199334 - MOT. ELIAS ALEXANDRE MIRANDA</t>
  </si>
  <si>
    <t>RALF CARDOSO DE CAMPOS</t>
  </si>
  <si>
    <t>DPC8H77</t>
  </si>
  <si>
    <t>REFERENTE A 3 PESQUISAS EXPRESSAS COMBO RASTER Nº 7725857 - SOLICITAÇÃO FABIANA - TICKET Nº 199335 - MOT. RALF CARDOSO DE CAMPOS</t>
  </si>
  <si>
    <t>REFERENTE A 3 CONSULTAS RASTER Nº  7731741 - SOLICITAÇÃO MATHEUS - TICKET Nº 199337 - MOT. CLODOALDO AMERICO SINCORA FILHO</t>
  </si>
  <si>
    <t>AILTON DA SILVA OLIVEIRA</t>
  </si>
  <si>
    <t>QQR1069</t>
  </si>
  <si>
    <t>REFERENTE A PESQUISA SKYMARK (CONJUNTO/MOT) Nº 4028392 - SOLICITAÇÃO MATHEUS - TICKET Nº 199338 - MOT. AILTON DA SILVA OLIVEIRA</t>
  </si>
  <si>
    <t>REFERENTE A CONSULTA SKYMARK Nº 4028570 - SOLICITAÇÃO JEAN - TICKET Nº 199340 - MOT. JOELTON DE LORETO</t>
  </si>
  <si>
    <t>REFERENTE A CONSULTA SKYMARK Nº 4028719 - SOLICITAÇÃO THAIS - TICKET Nº 199342 - MOT. MIGUEL APARECIDO PEREIRA FILHO</t>
  </si>
  <si>
    <t>REFERENTE A CONSULTA SKYMARK Nº 4028732 - SOLICITAÇÃO THAIS - TICKET Nº 199344 - MOT. EDEMILSON EDSON GARCIA</t>
  </si>
  <si>
    <t>RICARDO ZALTRON</t>
  </si>
  <si>
    <t>IOW7803</t>
  </si>
  <si>
    <t>REFERENTE A 3 PESQUISAS AVULSA NORMAL RASTER Nº 7732881 - SOLICITAÇÃO MARLON - TICKET Nº 199345 - MOT. RICARDO ZALTRON</t>
  </si>
  <si>
    <t>MARCIO DE SOUZA</t>
  </si>
  <si>
    <t>RUK6E58</t>
  </si>
  <si>
    <t>REFERENTE A PESQUISAS SKYMARK (CONJUNTO/MOT) Nº 4029171 - SOLICITAÇÃO ALESSANDRO - TICEKT Nº 199348 - MOT. MARCIO DE SOUZA</t>
  </si>
  <si>
    <t>LUCAS RODRIGUES FERREIRA</t>
  </si>
  <si>
    <t>NZO6B21</t>
  </si>
  <si>
    <t>REFERENTE A 2 CONSULTAS RASTER Nº 7733749 - SOLICITAÇÃO SUELEN - TICKET Nº  199350 - MOT. LUCAS RODRIGUES FERREIRA</t>
  </si>
  <si>
    <t>REF. AO FRETE PAGO A MAIOR NO MANIFESTO 888584 - CAVALO CRY9063 - MOT. JOSE AIRTON DE LIMA - SOLIC. POR RENAN VIA E-MAIL DIA 25-03-2026</t>
  </si>
  <si>
    <t>REF. A UMA PESQUISA DE PESSOA UMA PESQUISA DE VEICULO  SKYMARK 3821734 - CAVALO AZJ8D51 - MOT. RONALDO MOREIRA DUARTE - SOLC. POR MAURICIO - TICKET 193809- DIA 30-03-2026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</si>
</sst>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1"/>
    </font>
    <font>
      <sz val="12"/>
      <color rgb="FF000000"/>
      <name val="Aptos"/>
      <family val="2"/>
    </font>
    <font>
      <sz val="11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2" borderId="0" xfId="0" applyFont="1" applyFill="1"/>
    <xf numFmtId="3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0" fillId="3" borderId="0" xfId="0" applyFill="1"/>
    <xf numFmtId="164" fontId="1" fillId="2" borderId="0" xfId="0" applyNumberFormat="1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14" fontId="1" fillId="2" borderId="0" xfId="0" applyNumberFormat="1" applyFont="1" applyFill="1"/>
    <xf numFmtId="0" fontId="4" fillId="3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5227-410F-4D0C-A031-FE20CF984EB6}">
  <dimension ref="A1:Y1691"/>
  <sheetViews>
    <sheetView tabSelected="1" workbookViewId="0">
      <pane ySplit="1" topLeftCell="A158" activePane="bottomLeft" state="frozen"/>
      <selection pane="bottomLeft" activeCell="G1692" sqref="G1692"/>
    </sheetView>
  </sheetViews>
  <sheetFormatPr defaultRowHeight="15" customHeight="1" x14ac:dyDescent="0.25"/>
  <cols>
    <col min="1" max="1" width="44" customWidth="1"/>
    <col min="2" max="2" width="11.42578125" customWidth="1"/>
    <col min="3" max="3" width="11.28515625" style="1" bestFit="1" customWidth="1"/>
    <col min="4" max="4" width="13.42578125" style="5" bestFit="1" customWidth="1"/>
    <col min="5" max="5" width="22.7109375" bestFit="1" customWidth="1"/>
    <col min="6" max="6" width="7.42578125" bestFit="1" customWidth="1"/>
    <col min="7" max="7" width="9.85546875" customWidth="1"/>
    <col min="8" max="8" width="200.28515625" bestFit="1" customWidth="1"/>
  </cols>
  <sheetData>
    <row r="1" spans="1:25" x14ac:dyDescent="0.25">
      <c r="A1" s="2" t="s">
        <v>8</v>
      </c>
      <c r="B1" s="2" t="s">
        <v>9</v>
      </c>
      <c r="C1" s="12" t="s">
        <v>0</v>
      </c>
      <c r="D1" s="7" t="s">
        <v>1</v>
      </c>
      <c r="E1" s="2" t="s">
        <v>2</v>
      </c>
      <c r="F1" s="2" t="s">
        <v>3</v>
      </c>
      <c r="G1" s="2" t="s">
        <v>10</v>
      </c>
      <c r="H1" s="2" t="s">
        <v>4</v>
      </c>
    </row>
    <row r="2" spans="1:25" x14ac:dyDescent="0.25">
      <c r="A2" t="s">
        <v>11</v>
      </c>
      <c r="C2" s="1">
        <v>46108</v>
      </c>
      <c r="D2" s="5">
        <v>38.520000000000003</v>
      </c>
      <c r="E2" t="s">
        <v>12</v>
      </c>
      <c r="F2" t="s">
        <v>6</v>
      </c>
      <c r="G2" t="s">
        <v>260</v>
      </c>
      <c r="H2" t="s">
        <v>13</v>
      </c>
    </row>
    <row r="3" spans="1:25" x14ac:dyDescent="0.25">
      <c r="A3" t="s">
        <v>14</v>
      </c>
      <c r="C3" s="1">
        <v>46108</v>
      </c>
      <c r="D3" s="5">
        <v>166.88</v>
      </c>
      <c r="E3" t="s">
        <v>5</v>
      </c>
      <c r="F3" t="s">
        <v>6</v>
      </c>
      <c r="G3" t="s">
        <v>986</v>
      </c>
      <c r="H3" t="s">
        <v>3417</v>
      </c>
    </row>
    <row r="4" spans="1:25" x14ac:dyDescent="0.25">
      <c r="A4" t="s">
        <v>15</v>
      </c>
      <c r="C4" s="1">
        <v>46108</v>
      </c>
      <c r="D4" s="5">
        <v>150.6</v>
      </c>
      <c r="E4" t="s">
        <v>12</v>
      </c>
      <c r="F4" t="s">
        <v>6</v>
      </c>
      <c r="G4" t="s">
        <v>128</v>
      </c>
      <c r="H4" t="s">
        <v>16</v>
      </c>
      <c r="N4" s="3"/>
      <c r="P4" s="3"/>
      <c r="X4" s="1"/>
      <c r="Y4" s="4"/>
    </row>
    <row r="5" spans="1:25" x14ac:dyDescent="0.25">
      <c r="A5" t="s">
        <v>17</v>
      </c>
      <c r="C5" s="1">
        <v>46108</v>
      </c>
      <c r="D5" s="5">
        <v>154.88</v>
      </c>
      <c r="E5" t="s">
        <v>5</v>
      </c>
      <c r="F5" t="s">
        <v>6</v>
      </c>
      <c r="G5" t="s">
        <v>986</v>
      </c>
      <c r="H5" t="s">
        <v>18</v>
      </c>
    </row>
    <row r="6" spans="1:25" x14ac:dyDescent="0.25">
      <c r="A6" t="s">
        <v>19</v>
      </c>
      <c r="C6" s="1">
        <v>46108</v>
      </c>
      <c r="D6" s="5">
        <v>47.31</v>
      </c>
      <c r="E6" t="s">
        <v>12</v>
      </c>
      <c r="F6" t="s">
        <v>6</v>
      </c>
      <c r="G6" t="s">
        <v>296</v>
      </c>
      <c r="H6" t="s">
        <v>20</v>
      </c>
    </row>
    <row r="7" spans="1:25" x14ac:dyDescent="0.25">
      <c r="A7" t="s">
        <v>21</v>
      </c>
      <c r="C7" s="1">
        <v>46108</v>
      </c>
      <c r="D7" s="5">
        <v>150.6</v>
      </c>
      <c r="E7" t="s">
        <v>12</v>
      </c>
      <c r="F7" t="s">
        <v>6</v>
      </c>
      <c r="G7" t="s">
        <v>128</v>
      </c>
      <c r="H7" t="s">
        <v>22</v>
      </c>
    </row>
    <row r="8" spans="1:25" x14ac:dyDescent="0.25">
      <c r="A8" t="s">
        <v>23</v>
      </c>
      <c r="C8" s="1">
        <v>46108</v>
      </c>
      <c r="D8" s="5">
        <v>362.97</v>
      </c>
      <c r="E8" t="s">
        <v>12</v>
      </c>
      <c r="F8" t="s">
        <v>6</v>
      </c>
      <c r="G8" t="s">
        <v>231</v>
      </c>
      <c r="H8" t="s">
        <v>24</v>
      </c>
    </row>
    <row r="9" spans="1:25" x14ac:dyDescent="0.25">
      <c r="A9" t="s">
        <v>25</v>
      </c>
      <c r="C9" s="1">
        <v>46108</v>
      </c>
      <c r="D9" s="5">
        <v>3.68</v>
      </c>
      <c r="E9" t="s">
        <v>12</v>
      </c>
      <c r="F9" t="s">
        <v>6</v>
      </c>
      <c r="G9" t="s">
        <v>1026</v>
      </c>
      <c r="H9" t="s">
        <v>26</v>
      </c>
    </row>
    <row r="10" spans="1:25" x14ac:dyDescent="0.25">
      <c r="A10" t="s">
        <v>27</v>
      </c>
      <c r="C10" s="1">
        <v>46108</v>
      </c>
      <c r="D10" s="5">
        <v>3</v>
      </c>
      <c r="E10" t="s">
        <v>12</v>
      </c>
      <c r="F10" t="s">
        <v>6</v>
      </c>
      <c r="G10" t="s">
        <v>314</v>
      </c>
      <c r="H10" t="s">
        <v>28</v>
      </c>
    </row>
    <row r="11" spans="1:25" x14ac:dyDescent="0.25">
      <c r="A11" t="s">
        <v>29</v>
      </c>
      <c r="C11" s="1">
        <v>46108</v>
      </c>
      <c r="D11" s="5">
        <v>5.52</v>
      </c>
      <c r="E11" t="s">
        <v>12</v>
      </c>
      <c r="F11" t="s">
        <v>6</v>
      </c>
      <c r="G11" t="s">
        <v>231</v>
      </c>
      <c r="H11" t="s">
        <v>30</v>
      </c>
      <c r="J11">
        <v>78020</v>
      </c>
      <c r="K11">
        <v>517</v>
      </c>
      <c r="L11">
        <v>2716</v>
      </c>
      <c r="M11" t="s">
        <v>31</v>
      </c>
      <c r="N11" s="3">
        <v>53657</v>
      </c>
      <c r="O11" t="s">
        <v>32</v>
      </c>
      <c r="P11" s="3">
        <v>78020</v>
      </c>
      <c r="Q11" t="s">
        <v>29</v>
      </c>
      <c r="R11" t="s">
        <v>33</v>
      </c>
    </row>
    <row r="12" spans="1:25" x14ac:dyDescent="0.25">
      <c r="A12" t="s">
        <v>34</v>
      </c>
      <c r="C12" s="1">
        <v>46109</v>
      </c>
      <c r="D12" s="5">
        <v>33.64</v>
      </c>
      <c r="E12" t="s">
        <v>12</v>
      </c>
      <c r="F12" t="s">
        <v>6</v>
      </c>
      <c r="G12" t="s">
        <v>260</v>
      </c>
      <c r="H12" t="s">
        <v>35</v>
      </c>
    </row>
    <row r="13" spans="1:25" x14ac:dyDescent="0.25">
      <c r="A13" t="s">
        <v>36</v>
      </c>
      <c r="C13" s="1">
        <v>46109</v>
      </c>
      <c r="D13" s="5">
        <v>36.08</v>
      </c>
      <c r="E13" t="s">
        <v>12</v>
      </c>
      <c r="F13" t="s">
        <v>6</v>
      </c>
      <c r="G13" t="s">
        <v>260</v>
      </c>
      <c r="H13" t="s">
        <v>37</v>
      </c>
    </row>
    <row r="14" spans="1:25" x14ac:dyDescent="0.25">
      <c r="A14" t="s">
        <v>38</v>
      </c>
      <c r="C14" s="1">
        <v>46109</v>
      </c>
      <c r="D14" s="5">
        <v>25.68</v>
      </c>
      <c r="E14" t="s">
        <v>12</v>
      </c>
      <c r="F14" t="s">
        <v>6</v>
      </c>
      <c r="G14" t="s">
        <v>260</v>
      </c>
      <c r="H14" t="s">
        <v>39</v>
      </c>
    </row>
    <row r="15" spans="1:25" x14ac:dyDescent="0.25">
      <c r="A15" t="s">
        <v>40</v>
      </c>
      <c r="C15" s="1">
        <v>46109</v>
      </c>
      <c r="D15" s="5">
        <v>126.64</v>
      </c>
      <c r="E15" t="s">
        <v>12</v>
      </c>
      <c r="F15" t="s">
        <v>6</v>
      </c>
      <c r="G15" t="s">
        <v>183</v>
      </c>
      <c r="H15" t="s">
        <v>41</v>
      </c>
    </row>
    <row r="16" spans="1:25" x14ac:dyDescent="0.25">
      <c r="A16" t="s">
        <v>42</v>
      </c>
      <c r="C16" s="1">
        <v>46109</v>
      </c>
      <c r="D16" s="5">
        <v>3.68</v>
      </c>
      <c r="E16" t="s">
        <v>12</v>
      </c>
      <c r="F16" t="s">
        <v>6</v>
      </c>
      <c r="G16" t="s">
        <v>264</v>
      </c>
      <c r="H16" t="s">
        <v>43</v>
      </c>
    </row>
    <row r="17" spans="1:8" x14ac:dyDescent="0.25">
      <c r="A17" t="s">
        <v>44</v>
      </c>
      <c r="C17" s="1">
        <v>46111</v>
      </c>
      <c r="D17" s="5">
        <v>5.52</v>
      </c>
      <c r="E17" t="s">
        <v>12</v>
      </c>
      <c r="F17" t="s">
        <v>6</v>
      </c>
      <c r="G17" t="s">
        <v>314</v>
      </c>
      <c r="H17" t="s">
        <v>45</v>
      </c>
    </row>
    <row r="18" spans="1:8" x14ac:dyDescent="0.25">
      <c r="A18" t="s">
        <v>46</v>
      </c>
      <c r="C18" s="1">
        <v>46111</v>
      </c>
      <c r="D18" s="5">
        <v>5.52</v>
      </c>
      <c r="E18" t="s">
        <v>12</v>
      </c>
      <c r="F18" t="s">
        <v>6</v>
      </c>
      <c r="G18" t="s">
        <v>135</v>
      </c>
      <c r="H18" t="s">
        <v>47</v>
      </c>
    </row>
    <row r="19" spans="1:8" x14ac:dyDescent="0.25">
      <c r="A19" t="s">
        <v>48</v>
      </c>
      <c r="C19" s="1">
        <v>46111</v>
      </c>
      <c r="D19" s="5">
        <v>5.52</v>
      </c>
      <c r="E19" t="s">
        <v>12</v>
      </c>
      <c r="F19" t="s">
        <v>6</v>
      </c>
      <c r="G19" t="s">
        <v>135</v>
      </c>
      <c r="H19" t="s">
        <v>49</v>
      </c>
    </row>
    <row r="20" spans="1:8" x14ac:dyDescent="0.25">
      <c r="A20" t="s">
        <v>50</v>
      </c>
      <c r="C20" s="1">
        <v>46111</v>
      </c>
      <c r="D20" s="5">
        <v>3.68</v>
      </c>
      <c r="E20" t="s">
        <v>12</v>
      </c>
      <c r="F20" t="s">
        <v>6</v>
      </c>
      <c r="G20" t="s">
        <v>1026</v>
      </c>
      <c r="H20" t="s">
        <v>51</v>
      </c>
    </row>
    <row r="21" spans="1:8" x14ac:dyDescent="0.25">
      <c r="A21" t="s">
        <v>48</v>
      </c>
      <c r="C21" s="1">
        <v>46111</v>
      </c>
      <c r="D21" s="5">
        <v>5.52</v>
      </c>
      <c r="E21" t="s">
        <v>12</v>
      </c>
      <c r="F21" t="s">
        <v>6</v>
      </c>
      <c r="G21" t="s">
        <v>135</v>
      </c>
      <c r="H21" t="s">
        <v>52</v>
      </c>
    </row>
    <row r="22" spans="1:8" x14ac:dyDescent="0.25">
      <c r="A22" t="s">
        <v>53</v>
      </c>
      <c r="C22" s="1">
        <v>46111</v>
      </c>
      <c r="D22" s="5">
        <v>3</v>
      </c>
      <c r="E22" t="s">
        <v>12</v>
      </c>
      <c r="F22" t="s">
        <v>6</v>
      </c>
      <c r="G22" t="s">
        <v>124</v>
      </c>
      <c r="H22" t="s">
        <v>54</v>
      </c>
    </row>
    <row r="23" spans="1:8" x14ac:dyDescent="0.25">
      <c r="A23" t="s">
        <v>55</v>
      </c>
      <c r="B23" s="6" t="s">
        <v>56</v>
      </c>
      <c r="C23" s="1">
        <v>46111</v>
      </c>
      <c r="D23" s="5">
        <v>51.36</v>
      </c>
      <c r="E23" t="s">
        <v>12</v>
      </c>
      <c r="F23" t="s">
        <v>6</v>
      </c>
      <c r="G23" t="s">
        <v>222</v>
      </c>
      <c r="H23" t="s">
        <v>57</v>
      </c>
    </row>
    <row r="24" spans="1:8" x14ac:dyDescent="0.25">
      <c r="A24" t="s">
        <v>58</v>
      </c>
      <c r="B24" t="s">
        <v>59</v>
      </c>
      <c r="C24" s="1">
        <v>46111</v>
      </c>
      <c r="D24" s="5">
        <v>38.520000000000003</v>
      </c>
      <c r="E24" t="s">
        <v>12</v>
      </c>
      <c r="F24" t="s">
        <v>6</v>
      </c>
      <c r="G24" t="s">
        <v>128</v>
      </c>
      <c r="H24" t="s">
        <v>60</v>
      </c>
    </row>
    <row r="25" spans="1:8" x14ac:dyDescent="0.25">
      <c r="A25" t="s">
        <v>61</v>
      </c>
      <c r="B25" t="s">
        <v>62</v>
      </c>
      <c r="C25" s="1">
        <v>46111</v>
      </c>
      <c r="D25" s="5">
        <v>3</v>
      </c>
      <c r="E25" t="s">
        <v>12</v>
      </c>
      <c r="F25" t="s">
        <v>6</v>
      </c>
      <c r="G25" t="s">
        <v>117</v>
      </c>
      <c r="H25" t="s">
        <v>63</v>
      </c>
    </row>
    <row r="26" spans="1:8" x14ac:dyDescent="0.25">
      <c r="A26" t="s">
        <v>64</v>
      </c>
      <c r="B26" t="s">
        <v>65</v>
      </c>
      <c r="C26" s="1">
        <v>46111</v>
      </c>
      <c r="D26" s="5">
        <v>38.520000000000003</v>
      </c>
      <c r="E26" t="s">
        <v>12</v>
      </c>
      <c r="F26" t="s">
        <v>6</v>
      </c>
      <c r="G26" t="s">
        <v>222</v>
      </c>
      <c r="H26" t="s">
        <v>66</v>
      </c>
    </row>
    <row r="27" spans="1:8" x14ac:dyDescent="0.25">
      <c r="A27" t="s">
        <v>67</v>
      </c>
      <c r="B27" t="s">
        <v>68</v>
      </c>
      <c r="C27" s="1">
        <v>46111</v>
      </c>
      <c r="D27" s="5">
        <v>5.52</v>
      </c>
      <c r="E27" t="s">
        <v>12</v>
      </c>
      <c r="F27" t="s">
        <v>6</v>
      </c>
      <c r="G27" t="s">
        <v>222</v>
      </c>
      <c r="H27" t="s">
        <v>69</v>
      </c>
    </row>
    <row r="28" spans="1:8" x14ac:dyDescent="0.25">
      <c r="A28" t="s">
        <v>70</v>
      </c>
      <c r="B28" t="s">
        <v>71</v>
      </c>
      <c r="C28" s="1">
        <v>46111</v>
      </c>
      <c r="D28" s="5">
        <v>5.52</v>
      </c>
      <c r="E28" t="s">
        <v>12</v>
      </c>
      <c r="F28" t="s">
        <v>6</v>
      </c>
      <c r="G28" t="s">
        <v>260</v>
      </c>
      <c r="H28" t="s">
        <v>72</v>
      </c>
    </row>
    <row r="29" spans="1:8" x14ac:dyDescent="0.25">
      <c r="A29" t="s">
        <v>73</v>
      </c>
      <c r="B29" t="s">
        <v>74</v>
      </c>
      <c r="C29" s="1">
        <v>46111</v>
      </c>
      <c r="D29" s="5">
        <v>19.45</v>
      </c>
      <c r="E29" t="s">
        <v>12</v>
      </c>
      <c r="F29" t="s">
        <v>6</v>
      </c>
      <c r="G29" t="s">
        <v>135</v>
      </c>
      <c r="H29" t="s">
        <v>75</v>
      </c>
    </row>
    <row r="30" spans="1:8" x14ac:dyDescent="0.25">
      <c r="A30" t="s">
        <v>76</v>
      </c>
      <c r="B30" t="s">
        <v>77</v>
      </c>
      <c r="C30" s="1">
        <v>46111</v>
      </c>
      <c r="D30" s="5">
        <v>63.08</v>
      </c>
      <c r="E30" t="s">
        <v>12</v>
      </c>
      <c r="F30" t="s">
        <v>6</v>
      </c>
      <c r="G30" t="s">
        <v>148</v>
      </c>
      <c r="H30" t="s">
        <v>78</v>
      </c>
    </row>
    <row r="31" spans="1:8" x14ac:dyDescent="0.25">
      <c r="A31" t="s">
        <v>79</v>
      </c>
      <c r="B31" t="s">
        <v>80</v>
      </c>
      <c r="C31" s="1">
        <v>46111</v>
      </c>
      <c r="D31" s="5">
        <v>159.51</v>
      </c>
      <c r="E31" t="s">
        <v>12</v>
      </c>
      <c r="F31" t="s">
        <v>6</v>
      </c>
      <c r="G31" t="s">
        <v>222</v>
      </c>
      <c r="H31" t="s">
        <v>81</v>
      </c>
    </row>
    <row r="32" spans="1:8" x14ac:dyDescent="0.25">
      <c r="A32" t="s">
        <v>82</v>
      </c>
      <c r="B32" t="s">
        <v>83</v>
      </c>
      <c r="C32" s="1">
        <v>46111</v>
      </c>
      <c r="D32" s="5">
        <v>3.86</v>
      </c>
      <c r="E32" t="s">
        <v>12</v>
      </c>
      <c r="F32" t="s">
        <v>6</v>
      </c>
      <c r="G32" t="s">
        <v>183</v>
      </c>
      <c r="H32" t="s">
        <v>84</v>
      </c>
    </row>
    <row r="33" spans="1:8" x14ac:dyDescent="0.25">
      <c r="A33" t="s">
        <v>85</v>
      </c>
      <c r="B33" t="s">
        <v>86</v>
      </c>
      <c r="C33" s="1">
        <v>46111</v>
      </c>
      <c r="D33" s="5">
        <v>112.05</v>
      </c>
      <c r="E33" t="s">
        <v>12</v>
      </c>
      <c r="F33" t="s">
        <v>6</v>
      </c>
      <c r="G33" t="s">
        <v>183</v>
      </c>
      <c r="H33" t="s">
        <v>87</v>
      </c>
    </row>
    <row r="34" spans="1:8" x14ac:dyDescent="0.25">
      <c r="A34" t="s">
        <v>88</v>
      </c>
      <c r="B34" t="s">
        <v>89</v>
      </c>
      <c r="C34" s="1">
        <v>46111</v>
      </c>
      <c r="D34" s="5">
        <v>131.38999999999999</v>
      </c>
      <c r="E34" t="s">
        <v>12</v>
      </c>
      <c r="F34" t="s">
        <v>6</v>
      </c>
      <c r="G34" t="s">
        <v>292</v>
      </c>
      <c r="H34" t="s">
        <v>90</v>
      </c>
    </row>
    <row r="35" spans="1:8" x14ac:dyDescent="0.25">
      <c r="A35" t="s">
        <v>91</v>
      </c>
      <c r="B35" t="s">
        <v>92</v>
      </c>
      <c r="C35" s="1">
        <v>46111</v>
      </c>
      <c r="D35" s="5">
        <v>5.52</v>
      </c>
      <c r="E35" t="s">
        <v>12</v>
      </c>
      <c r="F35" t="s">
        <v>6</v>
      </c>
      <c r="G35" t="s">
        <v>128</v>
      </c>
      <c r="H35" t="s">
        <v>93</v>
      </c>
    </row>
    <row r="36" spans="1:8" x14ac:dyDescent="0.25">
      <c r="A36" t="s">
        <v>94</v>
      </c>
      <c r="B36" t="s">
        <v>95</v>
      </c>
      <c r="C36" s="1">
        <v>46111</v>
      </c>
      <c r="D36" s="5">
        <v>3</v>
      </c>
      <c r="E36" t="s">
        <v>12</v>
      </c>
      <c r="F36" t="s">
        <v>6</v>
      </c>
      <c r="G36" t="s">
        <v>128</v>
      </c>
      <c r="H36" t="s">
        <v>96</v>
      </c>
    </row>
    <row r="37" spans="1:8" x14ac:dyDescent="0.25">
      <c r="A37" t="s">
        <v>97</v>
      </c>
      <c r="B37" t="s">
        <v>98</v>
      </c>
      <c r="C37" s="1">
        <v>46111</v>
      </c>
      <c r="D37" s="5">
        <v>3.86</v>
      </c>
      <c r="E37" t="s">
        <v>12</v>
      </c>
      <c r="F37" t="s">
        <v>6</v>
      </c>
      <c r="G37" t="s">
        <v>183</v>
      </c>
      <c r="H37" t="s">
        <v>99</v>
      </c>
    </row>
    <row r="38" spans="1:8" x14ac:dyDescent="0.25">
      <c r="A38" t="s">
        <v>100</v>
      </c>
      <c r="B38" t="s">
        <v>101</v>
      </c>
      <c r="C38" s="1">
        <v>46111</v>
      </c>
      <c r="D38" s="5">
        <v>25.68</v>
      </c>
      <c r="E38" t="s">
        <v>12</v>
      </c>
      <c r="F38" t="s">
        <v>6</v>
      </c>
      <c r="G38" t="s">
        <v>260</v>
      </c>
      <c r="H38" t="s">
        <v>102</v>
      </c>
    </row>
    <row r="39" spans="1:8" x14ac:dyDescent="0.25">
      <c r="A39" t="s">
        <v>29</v>
      </c>
      <c r="B39" t="s">
        <v>32</v>
      </c>
      <c r="C39" s="1">
        <v>46111</v>
      </c>
      <c r="D39" s="5">
        <v>5.52</v>
      </c>
      <c r="E39" t="s">
        <v>12</v>
      </c>
      <c r="F39" t="s">
        <v>6</v>
      </c>
      <c r="G39" t="s">
        <v>231</v>
      </c>
      <c r="H39" t="s">
        <v>103</v>
      </c>
    </row>
    <row r="40" spans="1:8" x14ac:dyDescent="0.25">
      <c r="A40" t="s">
        <v>104</v>
      </c>
      <c r="B40" t="s">
        <v>105</v>
      </c>
      <c r="C40" s="1">
        <v>46111</v>
      </c>
      <c r="D40" s="5">
        <v>3.86</v>
      </c>
      <c r="E40" t="s">
        <v>12</v>
      </c>
      <c r="F40" t="s">
        <v>6</v>
      </c>
      <c r="G40" t="s">
        <v>183</v>
      </c>
      <c r="H40" t="s">
        <v>106</v>
      </c>
    </row>
    <row r="41" spans="1:8" x14ac:dyDescent="0.25">
      <c r="A41" t="s">
        <v>107</v>
      </c>
      <c r="B41" t="s">
        <v>108</v>
      </c>
      <c r="C41" s="1">
        <v>46111</v>
      </c>
      <c r="D41" s="5">
        <v>34.799999999999997</v>
      </c>
      <c r="E41" t="s">
        <v>12</v>
      </c>
      <c r="F41" t="s">
        <v>6</v>
      </c>
      <c r="G41" t="s">
        <v>395</v>
      </c>
      <c r="H41" t="s">
        <v>3418</v>
      </c>
    </row>
    <row r="42" spans="1:8" x14ac:dyDescent="0.25">
      <c r="A42" t="s">
        <v>109</v>
      </c>
      <c r="B42" t="s">
        <v>110</v>
      </c>
      <c r="C42" s="1">
        <v>46111</v>
      </c>
      <c r="D42" s="5">
        <v>38.520000000000003</v>
      </c>
      <c r="E42" t="s">
        <v>12</v>
      </c>
      <c r="F42" t="s">
        <v>6</v>
      </c>
      <c r="G42" t="s">
        <v>260</v>
      </c>
      <c r="H42" t="s">
        <v>111</v>
      </c>
    </row>
    <row r="43" spans="1:8" x14ac:dyDescent="0.25">
      <c r="A43" t="s">
        <v>112</v>
      </c>
      <c r="B43" t="s">
        <v>113</v>
      </c>
      <c r="C43" s="1">
        <v>46111</v>
      </c>
      <c r="D43" s="5">
        <v>38.520000000000003</v>
      </c>
      <c r="E43" t="s">
        <v>12</v>
      </c>
      <c r="F43" t="s">
        <v>6</v>
      </c>
      <c r="G43" t="s">
        <v>260</v>
      </c>
      <c r="H43" t="s">
        <v>114</v>
      </c>
    </row>
    <row r="44" spans="1:8" x14ac:dyDescent="0.25">
      <c r="A44" t="s">
        <v>115</v>
      </c>
      <c r="B44" t="s">
        <v>116</v>
      </c>
      <c r="C44" s="1">
        <v>46112</v>
      </c>
      <c r="D44" s="5">
        <v>3</v>
      </c>
      <c r="E44" t="s">
        <v>12</v>
      </c>
      <c r="F44" t="s">
        <v>6</v>
      </c>
      <c r="G44" t="s">
        <v>117</v>
      </c>
      <c r="H44" t="s">
        <v>118</v>
      </c>
    </row>
    <row r="45" spans="1:8" x14ac:dyDescent="0.25">
      <c r="A45" t="s">
        <v>119</v>
      </c>
      <c r="B45" t="s">
        <v>120</v>
      </c>
      <c r="C45" s="1">
        <v>46112</v>
      </c>
      <c r="D45" s="5">
        <v>23.24</v>
      </c>
      <c r="E45" t="s">
        <v>12</v>
      </c>
      <c r="F45" t="s">
        <v>6</v>
      </c>
      <c r="G45" t="s">
        <v>121</v>
      </c>
      <c r="H45" t="s">
        <v>122</v>
      </c>
    </row>
    <row r="46" spans="1:8" x14ac:dyDescent="0.25">
      <c r="A46" t="s">
        <v>44</v>
      </c>
      <c r="B46" t="s">
        <v>123</v>
      </c>
      <c r="C46" s="1">
        <v>46112</v>
      </c>
      <c r="D46" s="5">
        <v>5.52</v>
      </c>
      <c r="E46" t="s">
        <v>12</v>
      </c>
      <c r="F46" t="s">
        <v>6</v>
      </c>
      <c r="G46" t="s">
        <v>124</v>
      </c>
      <c r="H46" t="s">
        <v>125</v>
      </c>
    </row>
    <row r="47" spans="1:8" x14ac:dyDescent="0.25">
      <c r="A47" t="s">
        <v>126</v>
      </c>
      <c r="B47" t="s">
        <v>127</v>
      </c>
      <c r="C47" s="1">
        <v>46112</v>
      </c>
      <c r="D47" s="5">
        <v>26</v>
      </c>
      <c r="E47" t="s">
        <v>12</v>
      </c>
      <c r="F47" t="s">
        <v>6</v>
      </c>
      <c r="G47" t="s">
        <v>128</v>
      </c>
      <c r="H47" t="s">
        <v>129</v>
      </c>
    </row>
    <row r="48" spans="1:8" x14ac:dyDescent="0.25">
      <c r="A48" t="s">
        <v>130</v>
      </c>
      <c r="B48" t="s">
        <v>131</v>
      </c>
      <c r="C48" s="1">
        <v>46112</v>
      </c>
      <c r="D48" s="5">
        <v>5.31</v>
      </c>
      <c r="E48" t="s">
        <v>12</v>
      </c>
      <c r="F48" t="s">
        <v>6</v>
      </c>
      <c r="G48" t="s">
        <v>124</v>
      </c>
      <c r="H48" t="s">
        <v>132</v>
      </c>
    </row>
    <row r="49" spans="1:8" x14ac:dyDescent="0.25">
      <c r="A49" t="s">
        <v>133</v>
      </c>
      <c r="B49" t="s">
        <v>134</v>
      </c>
      <c r="C49" s="1">
        <v>46112</v>
      </c>
      <c r="D49" s="5">
        <v>141.79</v>
      </c>
      <c r="E49" t="s">
        <v>12</v>
      </c>
      <c r="F49" t="s">
        <v>6</v>
      </c>
      <c r="G49" t="s">
        <v>135</v>
      </c>
      <c r="H49" t="s">
        <v>136</v>
      </c>
    </row>
    <row r="50" spans="1:8" x14ac:dyDescent="0.25">
      <c r="A50" t="s">
        <v>137</v>
      </c>
      <c r="B50" t="s">
        <v>138</v>
      </c>
      <c r="C50" s="1">
        <v>46112</v>
      </c>
      <c r="D50" s="5">
        <v>31.2</v>
      </c>
      <c r="E50" t="s">
        <v>12</v>
      </c>
      <c r="F50" t="s">
        <v>6</v>
      </c>
      <c r="G50" t="s">
        <v>135</v>
      </c>
      <c r="H50" t="s">
        <v>139</v>
      </c>
    </row>
    <row r="51" spans="1:8" x14ac:dyDescent="0.25">
      <c r="A51" t="s">
        <v>140</v>
      </c>
      <c r="B51" t="s">
        <v>141</v>
      </c>
      <c r="C51" s="1">
        <v>46112</v>
      </c>
      <c r="D51" s="5">
        <v>38.520000000000003</v>
      </c>
      <c r="E51" t="s">
        <v>12</v>
      </c>
      <c r="F51" t="s">
        <v>6</v>
      </c>
      <c r="G51" t="s">
        <v>128</v>
      </c>
      <c r="H51" t="s">
        <v>142</v>
      </c>
    </row>
    <row r="52" spans="1:8" x14ac:dyDescent="0.25">
      <c r="A52" t="s">
        <v>143</v>
      </c>
      <c r="B52" t="s">
        <v>144</v>
      </c>
      <c r="C52" s="1">
        <v>46112</v>
      </c>
      <c r="D52" s="5">
        <v>152.19</v>
      </c>
      <c r="E52" t="s">
        <v>12</v>
      </c>
      <c r="F52" t="s">
        <v>6</v>
      </c>
      <c r="G52" t="s">
        <v>135</v>
      </c>
      <c r="H52" t="s">
        <v>145</v>
      </c>
    </row>
    <row r="53" spans="1:8" x14ac:dyDescent="0.25">
      <c r="A53" t="s">
        <v>146</v>
      </c>
      <c r="B53" t="s">
        <v>147</v>
      </c>
      <c r="C53" s="1">
        <v>46112</v>
      </c>
      <c r="D53" s="5">
        <v>3.86</v>
      </c>
      <c r="E53" t="s">
        <v>12</v>
      </c>
      <c r="F53" t="s">
        <v>6</v>
      </c>
      <c r="G53" t="s">
        <v>148</v>
      </c>
      <c r="H53" t="s">
        <v>149</v>
      </c>
    </row>
    <row r="54" spans="1:8" x14ac:dyDescent="0.25">
      <c r="A54" t="s">
        <v>150</v>
      </c>
      <c r="B54" t="s">
        <v>151</v>
      </c>
      <c r="C54" s="1">
        <v>46112</v>
      </c>
      <c r="D54" s="5">
        <v>25.68</v>
      </c>
      <c r="E54" t="s">
        <v>12</v>
      </c>
      <c r="F54" t="s">
        <v>6</v>
      </c>
      <c r="G54" t="s">
        <v>128</v>
      </c>
      <c r="H54" t="s">
        <v>152</v>
      </c>
    </row>
    <row r="55" spans="1:8" x14ac:dyDescent="0.25">
      <c r="A55" t="s">
        <v>153</v>
      </c>
      <c r="B55" t="s">
        <v>154</v>
      </c>
      <c r="C55" s="1">
        <v>46112</v>
      </c>
      <c r="D55" s="5">
        <v>146.66999999999999</v>
      </c>
      <c r="E55" t="s">
        <v>12</v>
      </c>
      <c r="F55" t="s">
        <v>6</v>
      </c>
      <c r="G55" t="s">
        <v>128</v>
      </c>
      <c r="H55" t="s">
        <v>155</v>
      </c>
    </row>
    <row r="56" spans="1:8" x14ac:dyDescent="0.25">
      <c r="A56" t="s">
        <v>156</v>
      </c>
      <c r="B56" t="s">
        <v>157</v>
      </c>
      <c r="C56" s="1">
        <v>46112</v>
      </c>
      <c r="D56" s="5">
        <v>3.86</v>
      </c>
      <c r="E56" t="s">
        <v>12</v>
      </c>
      <c r="F56" t="s">
        <v>6</v>
      </c>
      <c r="G56" t="s">
        <v>148</v>
      </c>
      <c r="H56" t="s">
        <v>158</v>
      </c>
    </row>
    <row r="57" spans="1:8" x14ac:dyDescent="0.25">
      <c r="A57" t="s">
        <v>159</v>
      </c>
      <c r="B57" t="s">
        <v>160</v>
      </c>
      <c r="C57" s="1">
        <v>46112</v>
      </c>
      <c r="D57" s="5">
        <v>38.520000000000003</v>
      </c>
      <c r="E57" t="s">
        <v>12</v>
      </c>
      <c r="F57" t="s">
        <v>6</v>
      </c>
      <c r="G57" t="s">
        <v>128</v>
      </c>
      <c r="H57" t="s">
        <v>161</v>
      </c>
    </row>
    <row r="58" spans="1:8" x14ac:dyDescent="0.25">
      <c r="A58" t="s">
        <v>162</v>
      </c>
      <c r="B58" t="s">
        <v>163</v>
      </c>
      <c r="C58" s="1">
        <v>46112</v>
      </c>
      <c r="D58" s="5">
        <v>26</v>
      </c>
      <c r="E58" t="s">
        <v>12</v>
      </c>
      <c r="F58" t="s">
        <v>6</v>
      </c>
      <c r="G58" t="s">
        <v>128</v>
      </c>
      <c r="H58" t="s">
        <v>164</v>
      </c>
    </row>
    <row r="59" spans="1:8" x14ac:dyDescent="0.25">
      <c r="A59" t="s">
        <v>165</v>
      </c>
      <c r="B59" t="s">
        <v>166</v>
      </c>
      <c r="C59" s="1">
        <v>46112</v>
      </c>
      <c r="D59" s="5">
        <v>26</v>
      </c>
      <c r="E59" t="s">
        <v>12</v>
      </c>
      <c r="F59" t="s">
        <v>6</v>
      </c>
      <c r="G59" t="s">
        <v>128</v>
      </c>
      <c r="H59" t="s">
        <v>167</v>
      </c>
    </row>
    <row r="60" spans="1:8" x14ac:dyDescent="0.25">
      <c r="A60" t="s">
        <v>168</v>
      </c>
      <c r="B60" t="s">
        <v>169</v>
      </c>
      <c r="C60" s="1">
        <v>46112</v>
      </c>
      <c r="D60" s="5">
        <v>146.66999999999999</v>
      </c>
      <c r="E60" t="s">
        <v>12</v>
      </c>
      <c r="F60" t="s">
        <v>6</v>
      </c>
      <c r="G60" t="s">
        <v>128</v>
      </c>
      <c r="H60" t="s">
        <v>170</v>
      </c>
    </row>
    <row r="61" spans="1:8" x14ac:dyDescent="0.25">
      <c r="A61" t="s">
        <v>171</v>
      </c>
      <c r="B61" t="s">
        <v>172</v>
      </c>
      <c r="C61" s="1">
        <v>46112</v>
      </c>
      <c r="D61" s="5">
        <v>3.86</v>
      </c>
      <c r="E61" t="s">
        <v>12</v>
      </c>
      <c r="F61" t="s">
        <v>6</v>
      </c>
      <c r="G61" t="s">
        <v>148</v>
      </c>
      <c r="H61" t="s">
        <v>173</v>
      </c>
    </row>
    <row r="62" spans="1:8" x14ac:dyDescent="0.25">
      <c r="A62" t="s">
        <v>174</v>
      </c>
      <c r="B62" t="s">
        <v>175</v>
      </c>
      <c r="C62" s="1">
        <v>46112</v>
      </c>
      <c r="D62" s="5">
        <v>3</v>
      </c>
      <c r="E62" t="s">
        <v>12</v>
      </c>
      <c r="F62" t="s">
        <v>6</v>
      </c>
      <c r="G62" t="s">
        <v>124</v>
      </c>
      <c r="H62" s="8" t="s">
        <v>176</v>
      </c>
    </row>
    <row r="63" spans="1:8" x14ac:dyDescent="0.25">
      <c r="A63" t="s">
        <v>177</v>
      </c>
      <c r="B63" t="s">
        <v>178</v>
      </c>
      <c r="C63" s="1">
        <v>46112</v>
      </c>
      <c r="D63" s="5">
        <v>25.68</v>
      </c>
      <c r="E63" t="s">
        <v>12</v>
      </c>
      <c r="F63" t="s">
        <v>6</v>
      </c>
      <c r="G63" t="s">
        <v>179</v>
      </c>
      <c r="H63" t="s">
        <v>180</v>
      </c>
    </row>
    <row r="64" spans="1:8" x14ac:dyDescent="0.25">
      <c r="A64" t="s">
        <v>181</v>
      </c>
      <c r="B64" t="s">
        <v>182</v>
      </c>
      <c r="C64" s="1">
        <v>46112</v>
      </c>
      <c r="D64" s="5">
        <v>3.86</v>
      </c>
      <c r="E64" t="s">
        <v>12</v>
      </c>
      <c r="F64" t="s">
        <v>6</v>
      </c>
      <c r="G64" t="s">
        <v>183</v>
      </c>
      <c r="H64" t="s">
        <v>184</v>
      </c>
    </row>
    <row r="65" spans="1:8" x14ac:dyDescent="0.25">
      <c r="A65" t="s">
        <v>185</v>
      </c>
      <c r="B65" t="s">
        <v>186</v>
      </c>
      <c r="C65" s="1">
        <v>46113</v>
      </c>
      <c r="D65" s="5">
        <v>5.52</v>
      </c>
      <c r="E65" t="s">
        <v>12</v>
      </c>
      <c r="F65" t="s">
        <v>6</v>
      </c>
      <c r="G65" t="s">
        <v>128</v>
      </c>
      <c r="H65" t="s">
        <v>187</v>
      </c>
    </row>
    <row r="66" spans="1:8" x14ac:dyDescent="0.25">
      <c r="A66" t="s">
        <v>188</v>
      </c>
      <c r="B66" t="s">
        <v>189</v>
      </c>
      <c r="C66" s="1">
        <v>46113</v>
      </c>
      <c r="D66" s="5">
        <v>5.52</v>
      </c>
      <c r="E66" t="s">
        <v>12</v>
      </c>
      <c r="F66" t="s">
        <v>6</v>
      </c>
      <c r="G66" t="s">
        <v>128</v>
      </c>
      <c r="H66" t="s">
        <v>190</v>
      </c>
    </row>
    <row r="67" spans="1:8" x14ac:dyDescent="0.25">
      <c r="A67" t="s">
        <v>191</v>
      </c>
      <c r="B67" t="s">
        <v>192</v>
      </c>
      <c r="C67" s="1">
        <v>46113</v>
      </c>
      <c r="D67" s="5">
        <v>5.52</v>
      </c>
      <c r="E67" t="s">
        <v>12</v>
      </c>
      <c r="F67" t="s">
        <v>6</v>
      </c>
      <c r="G67" t="s">
        <v>128</v>
      </c>
      <c r="H67" t="s">
        <v>193</v>
      </c>
    </row>
    <row r="68" spans="1:8" x14ac:dyDescent="0.25">
      <c r="A68" t="s">
        <v>79</v>
      </c>
      <c r="B68" t="s">
        <v>80</v>
      </c>
      <c r="C68" s="1">
        <v>46113</v>
      </c>
      <c r="D68" s="5">
        <v>7.36</v>
      </c>
      <c r="E68" t="s">
        <v>12</v>
      </c>
      <c r="F68" t="s">
        <v>6</v>
      </c>
      <c r="G68" t="s">
        <v>128</v>
      </c>
      <c r="H68" t="s">
        <v>194</v>
      </c>
    </row>
    <row r="69" spans="1:8" x14ac:dyDescent="0.25">
      <c r="A69" t="s">
        <v>195</v>
      </c>
      <c r="B69" t="s">
        <v>196</v>
      </c>
      <c r="C69" s="1">
        <v>46113</v>
      </c>
      <c r="D69" s="5">
        <v>38.520000000000003</v>
      </c>
      <c r="E69" t="s">
        <v>12</v>
      </c>
      <c r="F69" t="s">
        <v>6</v>
      </c>
      <c r="G69" t="s">
        <v>128</v>
      </c>
      <c r="H69" t="s">
        <v>197</v>
      </c>
    </row>
    <row r="70" spans="1:8" x14ac:dyDescent="0.25">
      <c r="A70" t="s">
        <v>198</v>
      </c>
      <c r="B70" t="s">
        <v>199</v>
      </c>
      <c r="C70" s="1">
        <v>46113</v>
      </c>
      <c r="D70" s="5">
        <v>5.52</v>
      </c>
      <c r="E70" t="s">
        <v>12</v>
      </c>
      <c r="F70" t="s">
        <v>6</v>
      </c>
      <c r="G70" t="s">
        <v>128</v>
      </c>
      <c r="H70" t="s">
        <v>200</v>
      </c>
    </row>
    <row r="71" spans="1:8" x14ac:dyDescent="0.25">
      <c r="A71" t="s">
        <v>201</v>
      </c>
      <c r="B71" t="s">
        <v>202</v>
      </c>
      <c r="C71" s="1">
        <v>46113</v>
      </c>
      <c r="D71" s="5">
        <v>38.520000000000003</v>
      </c>
      <c r="E71" t="s">
        <v>12</v>
      </c>
      <c r="F71" t="s">
        <v>6</v>
      </c>
      <c r="G71" t="s">
        <v>128</v>
      </c>
      <c r="H71" t="s">
        <v>203</v>
      </c>
    </row>
    <row r="72" spans="1:8" x14ac:dyDescent="0.25">
      <c r="A72" t="s">
        <v>204</v>
      </c>
      <c r="B72" t="s">
        <v>205</v>
      </c>
      <c r="C72" s="1">
        <v>46113</v>
      </c>
      <c r="D72" s="5">
        <v>38.520000000000003</v>
      </c>
      <c r="E72" t="s">
        <v>12</v>
      </c>
      <c r="F72" t="s">
        <v>6</v>
      </c>
      <c r="G72" t="s">
        <v>128</v>
      </c>
      <c r="H72" t="s">
        <v>206</v>
      </c>
    </row>
    <row r="73" spans="1:8" x14ac:dyDescent="0.25">
      <c r="A73" t="s">
        <v>207</v>
      </c>
      <c r="B73" t="s">
        <v>208</v>
      </c>
      <c r="C73" s="1">
        <v>46113</v>
      </c>
      <c r="D73" s="5">
        <v>25.68</v>
      </c>
      <c r="E73" t="s">
        <v>12</v>
      </c>
      <c r="F73" t="s">
        <v>6</v>
      </c>
      <c r="G73" t="s">
        <v>209</v>
      </c>
      <c r="H73" t="s">
        <v>210</v>
      </c>
    </row>
    <row r="74" spans="1:8" x14ac:dyDescent="0.25">
      <c r="A74" t="s">
        <v>211</v>
      </c>
      <c r="B74" t="s">
        <v>212</v>
      </c>
      <c r="C74" s="1">
        <v>46113</v>
      </c>
      <c r="D74" s="5">
        <v>38.520000000000003</v>
      </c>
      <c r="E74" t="s">
        <v>12</v>
      </c>
      <c r="F74" t="s">
        <v>6</v>
      </c>
      <c r="G74" t="s">
        <v>128</v>
      </c>
      <c r="H74" t="s">
        <v>213</v>
      </c>
    </row>
    <row r="75" spans="1:8" x14ac:dyDescent="0.25">
      <c r="A75" t="s">
        <v>214</v>
      </c>
      <c r="B75" t="s">
        <v>215</v>
      </c>
      <c r="C75" s="1">
        <v>46113</v>
      </c>
      <c r="D75" s="5">
        <v>150.6</v>
      </c>
      <c r="E75" t="s">
        <v>12</v>
      </c>
      <c r="F75" t="s">
        <v>6</v>
      </c>
      <c r="G75" t="s">
        <v>128</v>
      </c>
      <c r="H75" t="s">
        <v>216</v>
      </c>
    </row>
    <row r="76" spans="1:8" x14ac:dyDescent="0.25">
      <c r="A76" t="s">
        <v>217</v>
      </c>
      <c r="B76" t="s">
        <v>218</v>
      </c>
      <c r="C76" s="1">
        <v>46113</v>
      </c>
      <c r="D76" s="5">
        <v>26</v>
      </c>
      <c r="E76" t="s">
        <v>12</v>
      </c>
      <c r="F76" t="s">
        <v>6</v>
      </c>
      <c r="G76" t="s">
        <v>128</v>
      </c>
      <c r="H76" t="s">
        <v>219</v>
      </c>
    </row>
    <row r="77" spans="1:8" x14ac:dyDescent="0.25">
      <c r="A77" t="s">
        <v>220</v>
      </c>
      <c r="B77" t="s">
        <v>221</v>
      </c>
      <c r="C77" s="1">
        <v>46113</v>
      </c>
      <c r="D77" s="5">
        <v>146.66999999999999</v>
      </c>
      <c r="E77" t="s">
        <v>12</v>
      </c>
      <c r="F77" t="s">
        <v>6</v>
      </c>
      <c r="G77" t="s">
        <v>222</v>
      </c>
      <c r="H77" t="s">
        <v>223</v>
      </c>
    </row>
    <row r="78" spans="1:8" x14ac:dyDescent="0.25">
      <c r="A78" t="s">
        <v>224</v>
      </c>
      <c r="B78" t="s">
        <v>225</v>
      </c>
      <c r="C78" s="1">
        <v>46113</v>
      </c>
      <c r="D78" s="5">
        <v>38.520000000000003</v>
      </c>
      <c r="E78" t="s">
        <v>12</v>
      </c>
      <c r="F78" t="s">
        <v>6</v>
      </c>
      <c r="G78" t="s">
        <v>128</v>
      </c>
      <c r="H78" t="s">
        <v>226</v>
      </c>
    </row>
    <row r="79" spans="1:8" x14ac:dyDescent="0.25">
      <c r="A79" t="s">
        <v>227</v>
      </c>
      <c r="B79" t="s">
        <v>228</v>
      </c>
      <c r="C79" s="1">
        <v>46113</v>
      </c>
      <c r="D79" s="5">
        <v>146.66999999999999</v>
      </c>
      <c r="E79" t="s">
        <v>12</v>
      </c>
      <c r="F79" t="s">
        <v>6</v>
      </c>
      <c r="G79" t="s">
        <v>128</v>
      </c>
      <c r="H79" t="s">
        <v>229</v>
      </c>
    </row>
    <row r="80" spans="1:8" x14ac:dyDescent="0.25">
      <c r="A80" t="s">
        <v>94</v>
      </c>
      <c r="B80" t="s">
        <v>95</v>
      </c>
      <c r="C80" s="1">
        <v>46113</v>
      </c>
      <c r="D80" s="5">
        <v>23</v>
      </c>
      <c r="E80" t="s">
        <v>12</v>
      </c>
      <c r="F80" t="s">
        <v>6</v>
      </c>
      <c r="G80" t="s">
        <v>128</v>
      </c>
      <c r="H80" t="s">
        <v>230</v>
      </c>
    </row>
    <row r="81" spans="1:8" x14ac:dyDescent="0.25">
      <c r="A81" t="s">
        <v>29</v>
      </c>
      <c r="B81" t="s">
        <v>32</v>
      </c>
      <c r="C81" s="1">
        <v>46113</v>
      </c>
      <c r="D81" s="5">
        <v>5.52</v>
      </c>
      <c r="E81" t="s">
        <v>12</v>
      </c>
      <c r="F81" t="s">
        <v>6</v>
      </c>
      <c r="G81" t="s">
        <v>231</v>
      </c>
      <c r="H81" t="s">
        <v>232</v>
      </c>
    </row>
    <row r="82" spans="1:8" x14ac:dyDescent="0.25">
      <c r="A82" t="s">
        <v>233</v>
      </c>
      <c r="B82" t="s">
        <v>234</v>
      </c>
      <c r="C82" s="1">
        <v>46113</v>
      </c>
      <c r="D82" s="5">
        <v>124.67</v>
      </c>
      <c r="E82" t="s">
        <v>12</v>
      </c>
      <c r="F82" t="s">
        <v>6</v>
      </c>
      <c r="G82" t="s">
        <v>235</v>
      </c>
      <c r="H82" t="s">
        <v>236</v>
      </c>
    </row>
    <row r="83" spans="1:8" x14ac:dyDescent="0.25">
      <c r="A83" t="s">
        <v>237</v>
      </c>
      <c r="B83" t="s">
        <v>238</v>
      </c>
      <c r="C83" s="1">
        <v>46113</v>
      </c>
      <c r="D83" s="5">
        <v>3.68</v>
      </c>
      <c r="E83" t="s">
        <v>12</v>
      </c>
      <c r="F83" t="s">
        <v>6</v>
      </c>
      <c r="G83" t="s">
        <v>239</v>
      </c>
      <c r="H83" t="s">
        <v>240</v>
      </c>
    </row>
    <row r="84" spans="1:8" x14ac:dyDescent="0.25">
      <c r="A84" t="s">
        <v>241</v>
      </c>
      <c r="B84" t="s">
        <v>242</v>
      </c>
      <c r="C84" s="1">
        <v>46113</v>
      </c>
      <c r="D84" s="5">
        <v>362.97</v>
      </c>
      <c r="E84" t="s">
        <v>12</v>
      </c>
      <c r="F84" t="s">
        <v>6</v>
      </c>
      <c r="G84" t="s">
        <v>231</v>
      </c>
      <c r="H84" t="s">
        <v>24</v>
      </c>
    </row>
    <row r="85" spans="1:8" ht="15" customHeight="1" x14ac:dyDescent="0.25">
      <c r="A85" t="s">
        <v>243</v>
      </c>
      <c r="B85" t="s">
        <v>244</v>
      </c>
      <c r="C85" s="1">
        <v>46113</v>
      </c>
      <c r="D85" s="5">
        <f>10.4*3</f>
        <v>31.200000000000003</v>
      </c>
      <c r="E85" t="s">
        <v>12</v>
      </c>
      <c r="F85" t="s">
        <v>6</v>
      </c>
      <c r="G85" t="s">
        <v>231</v>
      </c>
      <c r="H85" t="s">
        <v>245</v>
      </c>
    </row>
    <row r="86" spans="1:8" ht="15" customHeight="1" x14ac:dyDescent="0.25">
      <c r="A86" t="s">
        <v>246</v>
      </c>
      <c r="B86" t="s">
        <v>247</v>
      </c>
      <c r="C86" s="1">
        <v>46113</v>
      </c>
      <c r="D86" s="5">
        <v>31.2</v>
      </c>
      <c r="E86" t="s">
        <v>12</v>
      </c>
      <c r="F86" t="s">
        <v>6</v>
      </c>
      <c r="G86" t="s">
        <v>135</v>
      </c>
      <c r="H86" t="s">
        <v>248</v>
      </c>
    </row>
    <row r="87" spans="1:8" ht="15" customHeight="1" x14ac:dyDescent="0.25">
      <c r="A87" t="s">
        <v>249</v>
      </c>
      <c r="B87" t="s">
        <v>250</v>
      </c>
      <c r="C87" s="1">
        <v>46113</v>
      </c>
      <c r="D87" s="5">
        <f>12.84*3</f>
        <v>38.519999999999996</v>
      </c>
      <c r="E87" t="s">
        <v>12</v>
      </c>
      <c r="F87" t="s">
        <v>6</v>
      </c>
      <c r="G87" t="s">
        <v>231</v>
      </c>
      <c r="H87" t="s">
        <v>251</v>
      </c>
    </row>
    <row r="88" spans="1:8" ht="15" customHeight="1" x14ac:dyDescent="0.25">
      <c r="A88" t="s">
        <v>252</v>
      </c>
      <c r="B88" t="s">
        <v>253</v>
      </c>
      <c r="C88" s="1">
        <v>46113</v>
      </c>
      <c r="D88" s="5">
        <v>67.23</v>
      </c>
      <c r="E88" t="s">
        <v>12</v>
      </c>
      <c r="F88" t="s">
        <v>6</v>
      </c>
      <c r="G88" t="s">
        <v>183</v>
      </c>
      <c r="H88" t="s">
        <v>254</v>
      </c>
    </row>
    <row r="89" spans="1:8" ht="15" customHeight="1" x14ac:dyDescent="0.25">
      <c r="A89" t="s">
        <v>249</v>
      </c>
      <c r="B89" t="s">
        <v>250</v>
      </c>
      <c r="C89" s="1">
        <v>46113</v>
      </c>
      <c r="D89" s="5">
        <v>38.520000000000003</v>
      </c>
      <c r="E89" t="s">
        <v>12</v>
      </c>
      <c r="F89" t="s">
        <v>6</v>
      </c>
      <c r="G89" t="s">
        <v>255</v>
      </c>
      <c r="H89" t="s">
        <v>256</v>
      </c>
    </row>
    <row r="90" spans="1:8" ht="15" customHeight="1" x14ac:dyDescent="0.25">
      <c r="A90" t="s">
        <v>257</v>
      </c>
      <c r="B90" t="s">
        <v>258</v>
      </c>
      <c r="C90" s="1">
        <v>46113</v>
      </c>
      <c r="D90" s="5">
        <v>5.52</v>
      </c>
      <c r="E90" t="s">
        <v>12</v>
      </c>
      <c r="F90" t="s">
        <v>6</v>
      </c>
      <c r="G90" t="s">
        <v>231</v>
      </c>
      <c r="H90" t="s">
        <v>259</v>
      </c>
    </row>
    <row r="91" spans="1:8" ht="15" customHeight="1" x14ac:dyDescent="0.25">
      <c r="A91" t="s">
        <v>109</v>
      </c>
      <c r="B91" t="s">
        <v>110</v>
      </c>
      <c r="C91" s="1">
        <v>46113</v>
      </c>
      <c r="D91" s="5">
        <v>5.52</v>
      </c>
      <c r="E91" t="s">
        <v>12</v>
      </c>
      <c r="F91" t="s">
        <v>6</v>
      </c>
      <c r="G91" s="3" t="s">
        <v>260</v>
      </c>
      <c r="H91" t="s">
        <v>261</v>
      </c>
    </row>
    <row r="92" spans="1:8" ht="15" customHeight="1" x14ac:dyDescent="0.25">
      <c r="A92" t="s">
        <v>262</v>
      </c>
      <c r="B92" t="s">
        <v>263</v>
      </c>
      <c r="C92" s="1">
        <v>46113</v>
      </c>
      <c r="D92" s="5">
        <v>126.51</v>
      </c>
      <c r="E92" t="s">
        <v>12</v>
      </c>
      <c r="F92" t="s">
        <v>6</v>
      </c>
      <c r="G92" s="9" t="s">
        <v>264</v>
      </c>
      <c r="H92" t="s">
        <v>265</v>
      </c>
    </row>
    <row r="93" spans="1:8" ht="15" customHeight="1" x14ac:dyDescent="0.25">
      <c r="A93" t="s">
        <v>266</v>
      </c>
      <c r="B93" t="s">
        <v>267</v>
      </c>
      <c r="C93" s="1">
        <v>46113</v>
      </c>
      <c r="D93" s="5">
        <v>3.68</v>
      </c>
      <c r="E93" t="s">
        <v>12</v>
      </c>
      <c r="F93" t="s">
        <v>6</v>
      </c>
      <c r="G93" s="9" t="s">
        <v>264</v>
      </c>
      <c r="H93" t="s">
        <v>268</v>
      </c>
    </row>
    <row r="94" spans="1:8" ht="15" customHeight="1" x14ac:dyDescent="0.25">
      <c r="A94" t="s">
        <v>269</v>
      </c>
      <c r="B94" t="s">
        <v>270</v>
      </c>
      <c r="C94" s="1">
        <v>46113</v>
      </c>
      <c r="D94" s="5">
        <v>25.68</v>
      </c>
      <c r="E94" t="s">
        <v>12</v>
      </c>
      <c r="F94" t="s">
        <v>6</v>
      </c>
      <c r="G94" t="s">
        <v>260</v>
      </c>
      <c r="H94" t="s">
        <v>271</v>
      </c>
    </row>
    <row r="95" spans="1:8" ht="15" customHeight="1" x14ac:dyDescent="0.25">
      <c r="A95" t="s">
        <v>11</v>
      </c>
      <c r="B95" t="s">
        <v>272</v>
      </c>
      <c r="C95" s="1">
        <v>46113</v>
      </c>
      <c r="D95" s="5">
        <v>5.52</v>
      </c>
      <c r="E95" t="s">
        <v>12</v>
      </c>
      <c r="F95" t="s">
        <v>6</v>
      </c>
      <c r="G95" t="s">
        <v>260</v>
      </c>
      <c r="H95" t="s">
        <v>273</v>
      </c>
    </row>
    <row r="96" spans="1:8" ht="15" customHeight="1" x14ac:dyDescent="0.25">
      <c r="A96" t="s">
        <v>44</v>
      </c>
      <c r="B96" t="s">
        <v>123</v>
      </c>
      <c r="C96" s="1">
        <v>46114</v>
      </c>
      <c r="D96" s="5">
        <v>5.52</v>
      </c>
      <c r="E96" t="s">
        <v>12</v>
      </c>
      <c r="F96" t="s">
        <v>6</v>
      </c>
      <c r="G96" t="s">
        <v>124</v>
      </c>
      <c r="H96" t="s">
        <v>274</v>
      </c>
    </row>
    <row r="97" spans="1:8" ht="15" customHeight="1" x14ac:dyDescent="0.25">
      <c r="A97" t="s">
        <v>275</v>
      </c>
      <c r="B97" t="s">
        <v>62</v>
      </c>
      <c r="C97" s="1">
        <v>46114</v>
      </c>
      <c r="D97" s="5">
        <v>3</v>
      </c>
      <c r="E97" t="s">
        <v>12</v>
      </c>
      <c r="F97" t="s">
        <v>6</v>
      </c>
      <c r="G97" t="s">
        <v>124</v>
      </c>
      <c r="H97" t="s">
        <v>276</v>
      </c>
    </row>
    <row r="98" spans="1:8" ht="15" customHeight="1" x14ac:dyDescent="0.25">
      <c r="A98" t="s">
        <v>277</v>
      </c>
      <c r="B98" t="s">
        <v>278</v>
      </c>
      <c r="C98" s="1">
        <v>46114</v>
      </c>
      <c r="D98" s="5">
        <v>3</v>
      </c>
      <c r="E98" t="s">
        <v>12</v>
      </c>
      <c r="F98" t="s">
        <v>6</v>
      </c>
      <c r="G98" t="s">
        <v>183</v>
      </c>
      <c r="H98" t="s">
        <v>279</v>
      </c>
    </row>
    <row r="99" spans="1:8" ht="15" customHeight="1" x14ac:dyDescent="0.25">
      <c r="A99" t="s">
        <v>91</v>
      </c>
      <c r="B99" t="s">
        <v>92</v>
      </c>
      <c r="C99" s="1">
        <v>46114</v>
      </c>
      <c r="D99" s="5">
        <v>26</v>
      </c>
      <c r="E99" t="s">
        <v>12</v>
      </c>
      <c r="F99" t="s">
        <v>6</v>
      </c>
      <c r="G99" t="s">
        <v>128</v>
      </c>
      <c r="H99" t="s">
        <v>280</v>
      </c>
    </row>
    <row r="100" spans="1:8" ht="15" customHeight="1" x14ac:dyDescent="0.25">
      <c r="A100" t="s">
        <v>281</v>
      </c>
      <c r="B100" t="s">
        <v>282</v>
      </c>
      <c r="C100" s="1">
        <v>46114</v>
      </c>
      <c r="D100" s="5">
        <v>150.6</v>
      </c>
      <c r="E100" t="s">
        <v>12</v>
      </c>
      <c r="F100" t="s">
        <v>6</v>
      </c>
      <c r="G100" t="s">
        <v>128</v>
      </c>
      <c r="H100" t="s">
        <v>283</v>
      </c>
    </row>
    <row r="101" spans="1:8" ht="15" customHeight="1" x14ac:dyDescent="0.25">
      <c r="A101" t="s">
        <v>284</v>
      </c>
      <c r="B101" t="s">
        <v>285</v>
      </c>
      <c r="C101" s="1">
        <v>46114</v>
      </c>
      <c r="D101" s="5">
        <v>3</v>
      </c>
      <c r="E101" t="s">
        <v>12</v>
      </c>
      <c r="F101" t="s">
        <v>6</v>
      </c>
      <c r="G101" t="s">
        <v>183</v>
      </c>
      <c r="H101" t="s">
        <v>286</v>
      </c>
    </row>
    <row r="102" spans="1:8" ht="15" customHeight="1" x14ac:dyDescent="0.25">
      <c r="A102" t="s">
        <v>287</v>
      </c>
      <c r="B102" t="s">
        <v>288</v>
      </c>
      <c r="C102" s="1">
        <v>46114</v>
      </c>
      <c r="D102" s="5">
        <v>3</v>
      </c>
      <c r="E102" t="s">
        <v>12</v>
      </c>
      <c r="F102" t="s">
        <v>6</v>
      </c>
      <c r="G102" t="s">
        <v>183</v>
      </c>
      <c r="H102" t="s">
        <v>289</v>
      </c>
    </row>
    <row r="103" spans="1:8" ht="15" customHeight="1" x14ac:dyDescent="0.25">
      <c r="A103" t="s">
        <v>290</v>
      </c>
      <c r="B103" t="s">
        <v>291</v>
      </c>
      <c r="C103" s="1">
        <v>46114</v>
      </c>
      <c r="D103" s="5">
        <v>3.68</v>
      </c>
      <c r="E103" t="s">
        <v>12</v>
      </c>
      <c r="F103" t="s">
        <v>6</v>
      </c>
      <c r="G103" t="s">
        <v>292</v>
      </c>
      <c r="H103" t="s">
        <v>293</v>
      </c>
    </row>
    <row r="104" spans="1:8" ht="15" customHeight="1" x14ac:dyDescent="0.25">
      <c r="A104" t="s">
        <v>294</v>
      </c>
      <c r="B104" t="s">
        <v>295</v>
      </c>
      <c r="C104" s="1">
        <v>46114</v>
      </c>
      <c r="D104" s="5">
        <f>10.4*2</f>
        <v>20.8</v>
      </c>
      <c r="E104" t="s">
        <v>12</v>
      </c>
      <c r="F104" t="s">
        <v>6</v>
      </c>
      <c r="G104" t="s">
        <v>296</v>
      </c>
      <c r="H104" t="s">
        <v>297</v>
      </c>
    </row>
    <row r="105" spans="1:8" ht="15" customHeight="1" x14ac:dyDescent="0.25">
      <c r="A105" t="s">
        <v>298</v>
      </c>
      <c r="B105" t="s">
        <v>299</v>
      </c>
      <c r="C105" s="1">
        <v>46114</v>
      </c>
      <c r="D105" s="5">
        <f>10.4*3</f>
        <v>31.200000000000003</v>
      </c>
      <c r="E105" t="s">
        <v>12</v>
      </c>
      <c r="F105" t="s">
        <v>6</v>
      </c>
      <c r="G105" t="s">
        <v>296</v>
      </c>
      <c r="H105" t="s">
        <v>300</v>
      </c>
    </row>
    <row r="106" spans="1:8" ht="15" customHeight="1" x14ac:dyDescent="0.25">
      <c r="A106" t="s">
        <v>301</v>
      </c>
      <c r="B106" t="s">
        <v>302</v>
      </c>
      <c r="C106" s="1">
        <v>46114</v>
      </c>
      <c r="D106" s="5">
        <f>12.84*3</f>
        <v>38.519999999999996</v>
      </c>
      <c r="E106" t="s">
        <v>12</v>
      </c>
      <c r="F106" t="s">
        <v>6</v>
      </c>
      <c r="G106" t="s">
        <v>222</v>
      </c>
      <c r="H106" t="s">
        <v>303</v>
      </c>
    </row>
    <row r="107" spans="1:8" ht="15" customHeight="1" x14ac:dyDescent="0.25">
      <c r="A107" t="s">
        <v>304</v>
      </c>
      <c r="B107" t="s">
        <v>305</v>
      </c>
      <c r="C107" s="1">
        <v>46114</v>
      </c>
      <c r="D107" s="5">
        <f>12.84*3</f>
        <v>38.519999999999996</v>
      </c>
      <c r="E107" t="s">
        <v>12</v>
      </c>
      <c r="F107" t="s">
        <v>6</v>
      </c>
      <c r="G107" t="s">
        <v>239</v>
      </c>
      <c r="H107" t="s">
        <v>306</v>
      </c>
    </row>
    <row r="108" spans="1:8" ht="15" customHeight="1" x14ac:dyDescent="0.25">
      <c r="A108" t="s">
        <v>307</v>
      </c>
      <c r="B108" t="s">
        <v>308</v>
      </c>
      <c r="C108" s="1">
        <v>46114</v>
      </c>
      <c r="D108" s="5">
        <v>38.520000000000003</v>
      </c>
      <c r="E108" t="s">
        <v>12</v>
      </c>
      <c r="F108" t="s">
        <v>6</v>
      </c>
      <c r="G108" t="s">
        <v>309</v>
      </c>
      <c r="H108" t="s">
        <v>310</v>
      </c>
    </row>
    <row r="109" spans="1:8" ht="15" customHeight="1" x14ac:dyDescent="0.25">
      <c r="A109" t="s">
        <v>311</v>
      </c>
      <c r="B109" t="s">
        <v>312</v>
      </c>
      <c r="C109" s="1">
        <v>46114</v>
      </c>
      <c r="D109" s="5">
        <v>146.66999999999999</v>
      </c>
      <c r="E109" t="s">
        <v>12</v>
      </c>
      <c r="F109" t="s">
        <v>6</v>
      </c>
      <c r="G109" t="s">
        <v>128</v>
      </c>
      <c r="H109" t="s">
        <v>313</v>
      </c>
    </row>
    <row r="110" spans="1:8" ht="15" customHeight="1" x14ac:dyDescent="0.25">
      <c r="A110" t="s">
        <v>174</v>
      </c>
      <c r="B110" t="s">
        <v>175</v>
      </c>
      <c r="C110" s="1">
        <v>46114</v>
      </c>
      <c r="D110" s="5">
        <v>3</v>
      </c>
      <c r="E110" t="s">
        <v>12</v>
      </c>
      <c r="F110" t="s">
        <v>6</v>
      </c>
      <c r="G110" t="s">
        <v>314</v>
      </c>
      <c r="H110" t="s">
        <v>315</v>
      </c>
    </row>
    <row r="111" spans="1:8" ht="15" customHeight="1" x14ac:dyDescent="0.25">
      <c r="A111" t="s">
        <v>316</v>
      </c>
      <c r="B111" t="s">
        <v>317</v>
      </c>
      <c r="C111" s="1">
        <v>46114</v>
      </c>
      <c r="D111" s="5">
        <v>47.31</v>
      </c>
      <c r="E111" t="s">
        <v>12</v>
      </c>
      <c r="F111" t="s">
        <v>6</v>
      </c>
      <c r="G111" t="s">
        <v>318</v>
      </c>
      <c r="H111" t="s">
        <v>319</v>
      </c>
    </row>
    <row r="112" spans="1:8" ht="15" customHeight="1" x14ac:dyDescent="0.25">
      <c r="A112" t="s">
        <v>171</v>
      </c>
      <c r="B112" t="s">
        <v>172</v>
      </c>
      <c r="C112" s="1">
        <v>46114</v>
      </c>
      <c r="D112" s="5">
        <v>3.86</v>
      </c>
      <c r="E112" t="s">
        <v>12</v>
      </c>
      <c r="F112" t="s">
        <v>6</v>
      </c>
      <c r="G112" t="s">
        <v>148</v>
      </c>
      <c r="H112" t="s">
        <v>320</v>
      </c>
    </row>
    <row r="113" spans="1:8" ht="15" customHeight="1" x14ac:dyDescent="0.25">
      <c r="A113" t="s">
        <v>321</v>
      </c>
      <c r="B113" t="s">
        <v>322</v>
      </c>
      <c r="C113" s="1">
        <v>46114</v>
      </c>
      <c r="D113" s="5">
        <v>3.86</v>
      </c>
      <c r="E113" t="s">
        <v>12</v>
      </c>
      <c r="F113" t="s">
        <v>6</v>
      </c>
      <c r="G113" t="s">
        <v>148</v>
      </c>
      <c r="H113" t="s">
        <v>323</v>
      </c>
    </row>
    <row r="114" spans="1:8" ht="15" customHeight="1" x14ac:dyDescent="0.25">
      <c r="A114" t="s">
        <v>324</v>
      </c>
      <c r="B114" t="s">
        <v>325</v>
      </c>
      <c r="C114" s="1">
        <v>46114</v>
      </c>
      <c r="D114" s="5">
        <v>141.79</v>
      </c>
      <c r="E114" t="s">
        <v>12</v>
      </c>
      <c r="F114" t="s">
        <v>6</v>
      </c>
      <c r="G114" t="s">
        <v>326</v>
      </c>
      <c r="H114" t="s">
        <v>327</v>
      </c>
    </row>
    <row r="115" spans="1:8" ht="15" customHeight="1" x14ac:dyDescent="0.25">
      <c r="A115" t="s">
        <v>29</v>
      </c>
      <c r="B115" t="s">
        <v>32</v>
      </c>
      <c r="C115" s="1">
        <v>46114</v>
      </c>
      <c r="D115" s="5">
        <f>1.84*3</f>
        <v>5.5200000000000005</v>
      </c>
      <c r="E115" t="s">
        <v>12</v>
      </c>
      <c r="F115" t="s">
        <v>6</v>
      </c>
      <c r="G115" t="s">
        <v>231</v>
      </c>
      <c r="H115" t="s">
        <v>328</v>
      </c>
    </row>
    <row r="116" spans="1:8" ht="15" customHeight="1" x14ac:dyDescent="0.25">
      <c r="A116" t="s">
        <v>329</v>
      </c>
      <c r="B116" t="s">
        <v>330</v>
      </c>
      <c r="C116" s="1">
        <v>46114</v>
      </c>
      <c r="D116" s="5">
        <f>12.84*2</f>
        <v>25.68</v>
      </c>
      <c r="E116" t="s">
        <v>12</v>
      </c>
      <c r="F116" t="s">
        <v>6</v>
      </c>
      <c r="G116" t="s">
        <v>260</v>
      </c>
      <c r="H116" t="s">
        <v>331</v>
      </c>
    </row>
    <row r="117" spans="1:8" ht="15" customHeight="1" x14ac:dyDescent="0.25">
      <c r="A117" t="s">
        <v>332</v>
      </c>
      <c r="B117" t="s">
        <v>333</v>
      </c>
      <c r="C117" s="1">
        <v>46115</v>
      </c>
      <c r="D117" s="5">
        <v>3</v>
      </c>
      <c r="E117" t="s">
        <v>12</v>
      </c>
      <c r="F117" t="s">
        <v>6</v>
      </c>
      <c r="G117" t="s">
        <v>117</v>
      </c>
      <c r="H117" t="s">
        <v>334</v>
      </c>
    </row>
    <row r="118" spans="1:8" ht="15" customHeight="1" x14ac:dyDescent="0.25">
      <c r="A118" t="s">
        <v>335</v>
      </c>
      <c r="B118" t="s">
        <v>336</v>
      </c>
      <c r="C118" s="1">
        <v>46115</v>
      </c>
      <c r="D118" s="5">
        <f>1.84*2</f>
        <v>3.68</v>
      </c>
      <c r="E118" t="s">
        <v>12</v>
      </c>
      <c r="F118" t="s">
        <v>6</v>
      </c>
      <c r="G118" t="s">
        <v>264</v>
      </c>
      <c r="H118" t="s">
        <v>337</v>
      </c>
    </row>
    <row r="119" spans="1:8" ht="15" customHeight="1" x14ac:dyDescent="0.25">
      <c r="A119" t="s">
        <v>338</v>
      </c>
      <c r="B119" t="s">
        <v>339</v>
      </c>
      <c r="C119" s="1">
        <v>46116</v>
      </c>
      <c r="D119" s="5">
        <v>26</v>
      </c>
      <c r="E119" t="s">
        <v>12</v>
      </c>
      <c r="F119" t="s">
        <v>6</v>
      </c>
      <c r="G119" t="s">
        <v>128</v>
      </c>
      <c r="H119" t="s">
        <v>340</v>
      </c>
    </row>
    <row r="120" spans="1:8" ht="15" customHeight="1" x14ac:dyDescent="0.25">
      <c r="A120" t="s">
        <v>341</v>
      </c>
      <c r="B120" t="s">
        <v>342</v>
      </c>
      <c r="C120" s="1">
        <v>46116</v>
      </c>
      <c r="D120" s="5">
        <v>141.79</v>
      </c>
      <c r="E120" t="s">
        <v>12</v>
      </c>
      <c r="F120" t="s">
        <v>6</v>
      </c>
      <c r="G120" t="s">
        <v>235</v>
      </c>
      <c r="H120" t="s">
        <v>343</v>
      </c>
    </row>
    <row r="121" spans="1:8" ht="15" customHeight="1" x14ac:dyDescent="0.25">
      <c r="A121" t="s">
        <v>344</v>
      </c>
      <c r="B121" t="s">
        <v>345</v>
      </c>
      <c r="C121" s="1">
        <v>46116</v>
      </c>
      <c r="D121" s="5">
        <v>31.2</v>
      </c>
      <c r="E121" t="s">
        <v>12</v>
      </c>
      <c r="F121" t="s">
        <v>6</v>
      </c>
      <c r="G121" t="s">
        <v>235</v>
      </c>
      <c r="H121" t="s">
        <v>346</v>
      </c>
    </row>
    <row r="122" spans="1:8" ht="15" customHeight="1" x14ac:dyDescent="0.25">
      <c r="A122" t="s">
        <v>347</v>
      </c>
      <c r="B122" t="s">
        <v>348</v>
      </c>
      <c r="C122" s="1">
        <v>46116</v>
      </c>
      <c r="D122" s="5">
        <v>31.2</v>
      </c>
      <c r="E122" t="s">
        <v>12</v>
      </c>
      <c r="F122" t="s">
        <v>6</v>
      </c>
      <c r="G122" t="s">
        <v>235</v>
      </c>
      <c r="H122" t="s">
        <v>349</v>
      </c>
    </row>
    <row r="123" spans="1:8" ht="15" customHeight="1" x14ac:dyDescent="0.25">
      <c r="A123" t="s">
        <v>350</v>
      </c>
      <c r="B123" t="s">
        <v>351</v>
      </c>
      <c r="C123" s="1">
        <v>46116</v>
      </c>
      <c r="D123" s="5">
        <v>141.79</v>
      </c>
      <c r="E123" t="s">
        <v>12</v>
      </c>
      <c r="F123" t="s">
        <v>6</v>
      </c>
      <c r="G123" t="s">
        <v>235</v>
      </c>
      <c r="H123" t="s">
        <v>352</v>
      </c>
    </row>
    <row r="124" spans="1:8" ht="15" customHeight="1" x14ac:dyDescent="0.25">
      <c r="A124" t="s">
        <v>353</v>
      </c>
      <c r="B124" t="s">
        <v>354</v>
      </c>
      <c r="C124" s="1">
        <v>46116</v>
      </c>
      <c r="D124" s="5">
        <v>41.6</v>
      </c>
      <c r="E124" t="s">
        <v>12</v>
      </c>
      <c r="F124" t="s">
        <v>6</v>
      </c>
      <c r="G124" t="s">
        <v>292</v>
      </c>
      <c r="H124" t="s">
        <v>355</v>
      </c>
    </row>
    <row r="125" spans="1:8" ht="15" customHeight="1" x14ac:dyDescent="0.25">
      <c r="A125" t="s">
        <v>356</v>
      </c>
      <c r="B125" t="s">
        <v>357</v>
      </c>
      <c r="C125" s="1">
        <v>46116</v>
      </c>
      <c r="D125" s="5">
        <v>124.67</v>
      </c>
      <c r="E125" t="s">
        <v>12</v>
      </c>
      <c r="F125" t="s">
        <v>6</v>
      </c>
      <c r="G125" t="s">
        <v>235</v>
      </c>
      <c r="H125" t="s">
        <v>358</v>
      </c>
    </row>
    <row r="126" spans="1:8" ht="15" customHeight="1" x14ac:dyDescent="0.25">
      <c r="A126" t="s">
        <v>359</v>
      </c>
      <c r="B126" t="s">
        <v>267</v>
      </c>
      <c r="C126" s="1">
        <v>46117</v>
      </c>
      <c r="D126" s="5">
        <v>3.68</v>
      </c>
      <c r="E126" t="s">
        <v>12</v>
      </c>
      <c r="F126" t="s">
        <v>6</v>
      </c>
      <c r="G126" t="s">
        <v>264</v>
      </c>
      <c r="H126" t="s">
        <v>360</v>
      </c>
    </row>
    <row r="127" spans="1:8" ht="15" customHeight="1" x14ac:dyDescent="0.25">
      <c r="A127" s="10" t="s">
        <v>361</v>
      </c>
      <c r="B127" s="10" t="s">
        <v>362</v>
      </c>
      <c r="C127" s="1">
        <v>46117</v>
      </c>
      <c r="D127" s="5">
        <v>144.29</v>
      </c>
      <c r="E127" t="s">
        <v>12</v>
      </c>
      <c r="F127" t="s">
        <v>6</v>
      </c>
      <c r="G127" t="s">
        <v>264</v>
      </c>
      <c r="H127" t="s">
        <v>363</v>
      </c>
    </row>
    <row r="128" spans="1:8" ht="15" customHeight="1" x14ac:dyDescent="0.25">
      <c r="A128" t="s">
        <v>364</v>
      </c>
      <c r="B128" t="s">
        <v>365</v>
      </c>
      <c r="C128" s="1">
        <v>46118</v>
      </c>
      <c r="D128" s="5">
        <v>26</v>
      </c>
      <c r="E128" t="s">
        <v>12</v>
      </c>
      <c r="F128" t="s">
        <v>6</v>
      </c>
      <c r="G128" t="s">
        <v>128</v>
      </c>
      <c r="H128" t="s">
        <v>366</v>
      </c>
    </row>
    <row r="129" spans="1:8" ht="15" customHeight="1" x14ac:dyDescent="0.25">
      <c r="A129" t="s">
        <v>367</v>
      </c>
      <c r="B129" t="s">
        <v>368</v>
      </c>
      <c r="C129" s="1">
        <v>46118</v>
      </c>
      <c r="D129" s="5">
        <v>3.68</v>
      </c>
      <c r="E129" t="s">
        <v>12</v>
      </c>
      <c r="F129" t="s">
        <v>6</v>
      </c>
      <c r="G129" t="s">
        <v>369</v>
      </c>
      <c r="H129" t="s">
        <v>370</v>
      </c>
    </row>
    <row r="130" spans="1:8" ht="15" customHeight="1" x14ac:dyDescent="0.25">
      <c r="A130" t="s">
        <v>371</v>
      </c>
      <c r="B130" t="s">
        <v>372</v>
      </c>
      <c r="C130" s="1">
        <v>46118</v>
      </c>
      <c r="D130" s="5">
        <v>26</v>
      </c>
      <c r="E130" t="s">
        <v>12</v>
      </c>
      <c r="F130" t="s">
        <v>6</v>
      </c>
      <c r="G130" t="s">
        <v>128</v>
      </c>
      <c r="H130" t="s">
        <v>373</v>
      </c>
    </row>
    <row r="131" spans="1:8" ht="15" customHeight="1" x14ac:dyDescent="0.25">
      <c r="A131" t="s">
        <v>153</v>
      </c>
      <c r="B131" t="s">
        <v>154</v>
      </c>
      <c r="C131" s="1">
        <v>46118</v>
      </c>
      <c r="D131" s="5">
        <v>5.52</v>
      </c>
      <c r="E131" t="s">
        <v>12</v>
      </c>
      <c r="F131" t="s">
        <v>6</v>
      </c>
      <c r="G131" t="s">
        <v>135</v>
      </c>
      <c r="H131" t="s">
        <v>374</v>
      </c>
    </row>
    <row r="132" spans="1:8" ht="15" customHeight="1" x14ac:dyDescent="0.25">
      <c r="A132" t="s">
        <v>195</v>
      </c>
      <c r="B132" t="s">
        <v>196</v>
      </c>
      <c r="C132" s="1">
        <v>46118</v>
      </c>
      <c r="D132" s="5">
        <v>5.52</v>
      </c>
      <c r="E132" t="s">
        <v>12</v>
      </c>
      <c r="F132" t="s">
        <v>6</v>
      </c>
      <c r="G132" t="s">
        <v>135</v>
      </c>
      <c r="H132" t="s">
        <v>375</v>
      </c>
    </row>
    <row r="133" spans="1:8" ht="15" customHeight="1" x14ac:dyDescent="0.25">
      <c r="A133" t="s">
        <v>191</v>
      </c>
      <c r="B133" t="s">
        <v>192</v>
      </c>
      <c r="C133" s="1">
        <v>46118</v>
      </c>
      <c r="D133" s="5">
        <v>5.52</v>
      </c>
      <c r="E133" t="s">
        <v>12</v>
      </c>
      <c r="F133" t="s">
        <v>6</v>
      </c>
      <c r="G133" t="s">
        <v>135</v>
      </c>
      <c r="H133" t="s">
        <v>376</v>
      </c>
    </row>
    <row r="134" spans="1:8" ht="15" customHeight="1" x14ac:dyDescent="0.25">
      <c r="A134" t="s">
        <v>377</v>
      </c>
      <c r="B134" t="s">
        <v>74</v>
      </c>
      <c r="C134" s="1">
        <v>46118</v>
      </c>
      <c r="D134" s="5">
        <v>5.52</v>
      </c>
      <c r="E134" t="s">
        <v>12</v>
      </c>
      <c r="F134" t="s">
        <v>6</v>
      </c>
      <c r="G134" t="s">
        <v>135</v>
      </c>
      <c r="H134" t="s">
        <v>378</v>
      </c>
    </row>
    <row r="135" spans="1:8" ht="15" customHeight="1" x14ac:dyDescent="0.25">
      <c r="A135" t="s">
        <v>94</v>
      </c>
      <c r="B135" t="s">
        <v>95</v>
      </c>
      <c r="C135" s="1">
        <v>46118</v>
      </c>
      <c r="D135" s="5">
        <v>26</v>
      </c>
      <c r="E135" t="s">
        <v>12</v>
      </c>
      <c r="F135" t="s">
        <v>6</v>
      </c>
      <c r="G135" t="s">
        <v>128</v>
      </c>
      <c r="H135" t="s">
        <v>379</v>
      </c>
    </row>
    <row r="136" spans="1:8" ht="15" customHeight="1" x14ac:dyDescent="0.25">
      <c r="A136" t="s">
        <v>380</v>
      </c>
      <c r="B136" t="s">
        <v>381</v>
      </c>
      <c r="C136" s="1">
        <v>46118</v>
      </c>
      <c r="D136" s="5">
        <v>26</v>
      </c>
      <c r="E136" t="s">
        <v>12</v>
      </c>
      <c r="F136" t="s">
        <v>6</v>
      </c>
      <c r="G136" t="s">
        <v>128</v>
      </c>
      <c r="H136" t="s">
        <v>382</v>
      </c>
    </row>
    <row r="137" spans="1:8" ht="15" customHeight="1" x14ac:dyDescent="0.25">
      <c r="A137" t="s">
        <v>15</v>
      </c>
      <c r="B137" t="s">
        <v>383</v>
      </c>
      <c r="C137" s="1">
        <v>46118</v>
      </c>
      <c r="D137" s="5">
        <v>26</v>
      </c>
      <c r="E137" t="s">
        <v>12</v>
      </c>
      <c r="F137" t="s">
        <v>6</v>
      </c>
      <c r="G137" t="s">
        <v>128</v>
      </c>
      <c r="H137" t="s">
        <v>384</v>
      </c>
    </row>
    <row r="138" spans="1:8" ht="15" customHeight="1" x14ac:dyDescent="0.25">
      <c r="A138" t="s">
        <v>385</v>
      </c>
      <c r="B138" t="s">
        <v>386</v>
      </c>
      <c r="C138" s="1">
        <v>46118</v>
      </c>
      <c r="D138" s="5">
        <v>26</v>
      </c>
      <c r="E138" t="s">
        <v>12</v>
      </c>
      <c r="F138" t="s">
        <v>6</v>
      </c>
      <c r="G138" t="s">
        <v>128</v>
      </c>
      <c r="H138" t="s">
        <v>387</v>
      </c>
    </row>
    <row r="139" spans="1:8" ht="15" customHeight="1" x14ac:dyDescent="0.25">
      <c r="A139" t="s">
        <v>388</v>
      </c>
      <c r="B139" t="s">
        <v>389</v>
      </c>
      <c r="C139" s="1">
        <v>46118</v>
      </c>
      <c r="D139" s="5">
        <v>26</v>
      </c>
      <c r="E139" t="s">
        <v>12</v>
      </c>
      <c r="F139" t="s">
        <v>6</v>
      </c>
      <c r="G139" t="s">
        <v>128</v>
      </c>
      <c r="H139" t="s">
        <v>390</v>
      </c>
    </row>
    <row r="140" spans="1:8" ht="15" customHeight="1" x14ac:dyDescent="0.25">
      <c r="A140" t="s">
        <v>266</v>
      </c>
      <c r="B140" t="s">
        <v>267</v>
      </c>
      <c r="C140" s="1">
        <v>46118</v>
      </c>
      <c r="D140" s="5">
        <v>25.68</v>
      </c>
      <c r="E140" t="s">
        <v>12</v>
      </c>
      <c r="F140" t="s">
        <v>6</v>
      </c>
      <c r="G140" t="s">
        <v>264</v>
      </c>
      <c r="H140" t="s">
        <v>391</v>
      </c>
    </row>
    <row r="141" spans="1:8" ht="15" customHeight="1" x14ac:dyDescent="0.25">
      <c r="A141" t="s">
        <v>392</v>
      </c>
      <c r="B141" t="s">
        <v>393</v>
      </c>
      <c r="C141" s="1">
        <v>46118</v>
      </c>
      <c r="D141" s="5">
        <v>26</v>
      </c>
      <c r="E141" t="s">
        <v>12</v>
      </c>
      <c r="F141" t="s">
        <v>6</v>
      </c>
      <c r="G141" t="s">
        <v>128</v>
      </c>
      <c r="H141" t="s">
        <v>394</v>
      </c>
    </row>
    <row r="142" spans="1:8" ht="15" customHeight="1" x14ac:dyDescent="0.25">
      <c r="A142" t="s">
        <v>107</v>
      </c>
      <c r="B142" t="s">
        <v>108</v>
      </c>
      <c r="C142" s="1">
        <v>46118</v>
      </c>
      <c r="D142" s="5">
        <v>17.399999999999999</v>
      </c>
      <c r="E142" t="s">
        <v>12</v>
      </c>
      <c r="F142" t="s">
        <v>6</v>
      </c>
      <c r="G142" t="s">
        <v>395</v>
      </c>
      <c r="H142" t="s">
        <v>396</v>
      </c>
    </row>
    <row r="143" spans="1:8" ht="15" customHeight="1" x14ac:dyDescent="0.25">
      <c r="A143" t="s">
        <v>397</v>
      </c>
      <c r="B143" t="s">
        <v>398</v>
      </c>
      <c r="C143" s="1">
        <v>46118</v>
      </c>
      <c r="D143" s="5">
        <v>38.520000000000003</v>
      </c>
      <c r="E143" t="s">
        <v>12</v>
      </c>
      <c r="F143" t="s">
        <v>6</v>
      </c>
      <c r="G143" t="s">
        <v>260</v>
      </c>
      <c r="H143" t="s">
        <v>399</v>
      </c>
    </row>
    <row r="144" spans="1:8" ht="15" customHeight="1" x14ac:dyDescent="0.25">
      <c r="A144" t="s">
        <v>400</v>
      </c>
      <c r="B144" t="s">
        <v>401</v>
      </c>
      <c r="C144" s="1">
        <v>46118</v>
      </c>
      <c r="D144" s="5">
        <v>38.520000000000003</v>
      </c>
      <c r="E144" t="s">
        <v>12</v>
      </c>
      <c r="F144" t="s">
        <v>6</v>
      </c>
      <c r="G144" t="s">
        <v>260</v>
      </c>
      <c r="H144" t="s">
        <v>402</v>
      </c>
    </row>
    <row r="145" spans="1:8" ht="15" customHeight="1" x14ac:dyDescent="0.25">
      <c r="A145" t="s">
        <v>403</v>
      </c>
      <c r="B145" t="s">
        <v>404</v>
      </c>
      <c r="C145" s="1">
        <v>46118</v>
      </c>
      <c r="D145" s="5">
        <v>3</v>
      </c>
      <c r="E145" t="s">
        <v>12</v>
      </c>
      <c r="F145" t="s">
        <v>6</v>
      </c>
      <c r="G145" t="s">
        <v>117</v>
      </c>
      <c r="H145" t="s">
        <v>405</v>
      </c>
    </row>
    <row r="146" spans="1:8" ht="15" customHeight="1" x14ac:dyDescent="0.25">
      <c r="A146" t="s">
        <v>406</v>
      </c>
      <c r="B146" t="s">
        <v>407</v>
      </c>
      <c r="C146" s="1">
        <v>46118</v>
      </c>
      <c r="D146" s="5">
        <v>96.63</v>
      </c>
      <c r="E146" t="s">
        <v>12</v>
      </c>
      <c r="F146" t="s">
        <v>6</v>
      </c>
      <c r="G146" t="s">
        <v>124</v>
      </c>
      <c r="H146" t="s">
        <v>408</v>
      </c>
    </row>
    <row r="147" spans="1:8" ht="15" customHeight="1" x14ac:dyDescent="0.25">
      <c r="A147" t="s">
        <v>409</v>
      </c>
      <c r="B147" t="s">
        <v>410</v>
      </c>
      <c r="C147" s="1">
        <v>46118</v>
      </c>
      <c r="D147" s="5">
        <v>38.520000000000003</v>
      </c>
      <c r="E147" t="s">
        <v>12</v>
      </c>
      <c r="F147" t="s">
        <v>6</v>
      </c>
      <c r="G147" t="s">
        <v>128</v>
      </c>
      <c r="H147" t="s">
        <v>411</v>
      </c>
    </row>
    <row r="148" spans="1:8" ht="15" customHeight="1" x14ac:dyDescent="0.25">
      <c r="A148" t="s">
        <v>412</v>
      </c>
      <c r="B148" t="s">
        <v>413</v>
      </c>
      <c r="C148" s="1">
        <v>46118</v>
      </c>
      <c r="D148" s="5">
        <v>26</v>
      </c>
      <c r="E148" t="s">
        <v>12</v>
      </c>
      <c r="F148" t="s">
        <v>6</v>
      </c>
      <c r="G148" t="s">
        <v>128</v>
      </c>
      <c r="H148" t="s">
        <v>414</v>
      </c>
    </row>
    <row r="149" spans="1:8" ht="15" customHeight="1" x14ac:dyDescent="0.25">
      <c r="A149" t="s">
        <v>415</v>
      </c>
      <c r="B149" t="s">
        <v>416</v>
      </c>
      <c r="C149" s="1">
        <v>46118</v>
      </c>
      <c r="D149" s="5">
        <v>3.68</v>
      </c>
      <c r="E149" t="s">
        <v>12</v>
      </c>
      <c r="F149" t="s">
        <v>6</v>
      </c>
      <c r="G149" t="s">
        <v>318</v>
      </c>
      <c r="H149" t="s">
        <v>417</v>
      </c>
    </row>
    <row r="150" spans="1:8" ht="15" customHeight="1" x14ac:dyDescent="0.25">
      <c r="A150" t="s">
        <v>418</v>
      </c>
      <c r="B150" t="s">
        <v>419</v>
      </c>
      <c r="C150" s="1">
        <v>46118</v>
      </c>
      <c r="D150" s="5">
        <v>38.520000000000003</v>
      </c>
      <c r="E150" t="s">
        <v>12</v>
      </c>
      <c r="F150" t="s">
        <v>6</v>
      </c>
      <c r="G150" t="s">
        <v>260</v>
      </c>
      <c r="H150" t="s">
        <v>420</v>
      </c>
    </row>
    <row r="151" spans="1:8" ht="15" customHeight="1" x14ac:dyDescent="0.25">
      <c r="A151" t="s">
        <v>421</v>
      </c>
      <c r="B151" t="s">
        <v>422</v>
      </c>
      <c r="C151" s="1">
        <v>46118</v>
      </c>
      <c r="D151" s="5">
        <v>146.66999999999999</v>
      </c>
      <c r="E151" t="s">
        <v>12</v>
      </c>
      <c r="F151" t="s">
        <v>6</v>
      </c>
      <c r="G151" t="s">
        <v>128</v>
      </c>
      <c r="H151" t="s">
        <v>423</v>
      </c>
    </row>
    <row r="152" spans="1:8" ht="15" customHeight="1" x14ac:dyDescent="0.25">
      <c r="A152" t="s">
        <v>421</v>
      </c>
      <c r="B152" t="s">
        <v>422</v>
      </c>
      <c r="C152" s="1">
        <v>46118</v>
      </c>
      <c r="D152" s="5">
        <v>150.6</v>
      </c>
      <c r="E152" t="s">
        <v>12</v>
      </c>
      <c r="F152" t="s">
        <v>6</v>
      </c>
      <c r="G152" t="s">
        <v>128</v>
      </c>
      <c r="H152" t="s">
        <v>424</v>
      </c>
    </row>
    <row r="153" spans="1:8" ht="15" customHeight="1" x14ac:dyDescent="0.25">
      <c r="A153" t="s">
        <v>425</v>
      </c>
      <c r="B153" t="s">
        <v>426</v>
      </c>
      <c r="C153" s="1">
        <v>46118</v>
      </c>
      <c r="D153" s="5">
        <v>150.6</v>
      </c>
      <c r="E153" t="s">
        <v>12</v>
      </c>
      <c r="F153" t="s">
        <v>6</v>
      </c>
      <c r="G153" t="s">
        <v>128</v>
      </c>
      <c r="H153" t="s">
        <v>427</v>
      </c>
    </row>
    <row r="154" spans="1:8" ht="15" customHeight="1" x14ac:dyDescent="0.25">
      <c r="A154" t="s">
        <v>428</v>
      </c>
      <c r="B154" t="s">
        <v>429</v>
      </c>
      <c r="C154" s="1">
        <v>46118</v>
      </c>
      <c r="D154" s="5">
        <v>3.86</v>
      </c>
      <c r="E154" t="s">
        <v>12</v>
      </c>
      <c r="F154" t="s">
        <v>6</v>
      </c>
      <c r="G154" t="s">
        <v>124</v>
      </c>
      <c r="H154" t="s">
        <v>430</v>
      </c>
    </row>
    <row r="155" spans="1:8" ht="15" customHeight="1" x14ac:dyDescent="0.25">
      <c r="A155" t="s">
        <v>431</v>
      </c>
      <c r="B155" t="s">
        <v>432</v>
      </c>
      <c r="C155" s="1">
        <v>46118</v>
      </c>
      <c r="D155" s="5">
        <v>146.66999999999999</v>
      </c>
      <c r="E155" t="s">
        <v>12</v>
      </c>
      <c r="F155" t="s">
        <v>6</v>
      </c>
      <c r="G155" t="s">
        <v>128</v>
      </c>
      <c r="H155" t="s">
        <v>433</v>
      </c>
    </row>
    <row r="156" spans="1:8" ht="15" customHeight="1" x14ac:dyDescent="0.25">
      <c r="A156" t="s">
        <v>431</v>
      </c>
      <c r="B156" t="s">
        <v>432</v>
      </c>
      <c r="C156" s="1">
        <v>46118</v>
      </c>
      <c r="D156" s="5">
        <v>150.6</v>
      </c>
      <c r="E156" t="s">
        <v>12</v>
      </c>
      <c r="F156" t="s">
        <v>6</v>
      </c>
      <c r="G156" t="s">
        <v>128</v>
      </c>
      <c r="H156" t="s">
        <v>434</v>
      </c>
    </row>
    <row r="157" spans="1:8" ht="15" customHeight="1" x14ac:dyDescent="0.25">
      <c r="A157" t="s">
        <v>435</v>
      </c>
      <c r="B157" t="s">
        <v>436</v>
      </c>
      <c r="C157" s="1">
        <v>46118</v>
      </c>
      <c r="D157" s="5">
        <v>34.799999999999997</v>
      </c>
      <c r="E157" t="s">
        <v>12</v>
      </c>
      <c r="F157" t="s">
        <v>6</v>
      </c>
      <c r="G157" t="s">
        <v>117</v>
      </c>
      <c r="H157" t="s">
        <v>437</v>
      </c>
    </row>
    <row r="158" spans="1:8" ht="15" customHeight="1" x14ac:dyDescent="0.25">
      <c r="A158" t="s">
        <v>438</v>
      </c>
      <c r="B158" t="s">
        <v>439</v>
      </c>
      <c r="C158" s="1">
        <v>46118</v>
      </c>
      <c r="D158" s="5">
        <v>52.2</v>
      </c>
      <c r="E158" t="s">
        <v>12</v>
      </c>
      <c r="F158" t="s">
        <v>6</v>
      </c>
      <c r="G158" t="s">
        <v>314</v>
      </c>
      <c r="H158" t="s">
        <v>440</v>
      </c>
    </row>
    <row r="159" spans="1:8" ht="15" customHeight="1" x14ac:dyDescent="0.25">
      <c r="A159" t="s">
        <v>441</v>
      </c>
      <c r="B159" t="s">
        <v>442</v>
      </c>
      <c r="C159" s="1">
        <v>46118</v>
      </c>
      <c r="D159" s="5">
        <v>25.68</v>
      </c>
      <c r="E159" t="s">
        <v>12</v>
      </c>
      <c r="F159" t="s">
        <v>6</v>
      </c>
      <c r="G159" t="s">
        <v>260</v>
      </c>
      <c r="H159" t="s">
        <v>443</v>
      </c>
    </row>
    <row r="160" spans="1:8" ht="15" customHeight="1" x14ac:dyDescent="0.25">
      <c r="A160" t="s">
        <v>444</v>
      </c>
      <c r="B160" t="s">
        <v>445</v>
      </c>
      <c r="C160" s="1">
        <v>46118</v>
      </c>
      <c r="D160" s="5">
        <v>3.36</v>
      </c>
      <c r="E160" t="s">
        <v>12</v>
      </c>
      <c r="F160" t="s">
        <v>6</v>
      </c>
      <c r="G160" t="s">
        <v>264</v>
      </c>
      <c r="H160" t="s">
        <v>446</v>
      </c>
    </row>
    <row r="161" spans="1:8" ht="15" customHeight="1" x14ac:dyDescent="0.25">
      <c r="A161" t="s">
        <v>447</v>
      </c>
      <c r="B161" t="s">
        <v>448</v>
      </c>
      <c r="C161" s="1">
        <v>46118</v>
      </c>
      <c r="D161" s="5">
        <v>25.68</v>
      </c>
      <c r="E161" t="s">
        <v>12</v>
      </c>
      <c r="F161" t="s">
        <v>6</v>
      </c>
      <c r="G161" t="s">
        <v>260</v>
      </c>
      <c r="H161" t="s">
        <v>449</v>
      </c>
    </row>
    <row r="162" spans="1:8" ht="15" customHeight="1" x14ac:dyDescent="0.25">
      <c r="A162" t="s">
        <v>450</v>
      </c>
      <c r="B162" t="s">
        <v>451</v>
      </c>
      <c r="C162" s="1">
        <v>46118</v>
      </c>
      <c r="D162" s="5">
        <v>38.520000000000003</v>
      </c>
      <c r="E162" t="s">
        <v>12</v>
      </c>
      <c r="F162" t="s">
        <v>6</v>
      </c>
      <c r="G162" t="s">
        <v>260</v>
      </c>
      <c r="H162" t="s">
        <v>452</v>
      </c>
    </row>
    <row r="163" spans="1:8" ht="15" customHeight="1" x14ac:dyDescent="0.25">
      <c r="A163" t="s">
        <v>453</v>
      </c>
      <c r="B163" t="s">
        <v>454</v>
      </c>
      <c r="C163" s="1">
        <v>46119</v>
      </c>
      <c r="D163" s="5">
        <v>5.52</v>
      </c>
      <c r="E163" t="s">
        <v>12</v>
      </c>
      <c r="F163" t="s">
        <v>6</v>
      </c>
      <c r="G163" t="s">
        <v>309</v>
      </c>
      <c r="H163" t="s">
        <v>455</v>
      </c>
    </row>
    <row r="164" spans="1:8" ht="15" customHeight="1" x14ac:dyDescent="0.25">
      <c r="A164" t="s">
        <v>456</v>
      </c>
      <c r="B164" t="s">
        <v>457</v>
      </c>
      <c r="C164" s="1">
        <v>46119</v>
      </c>
      <c r="D164" s="5">
        <v>25.68</v>
      </c>
      <c r="E164" t="s">
        <v>12</v>
      </c>
      <c r="F164" t="s">
        <v>6</v>
      </c>
      <c r="G164" t="s">
        <v>264</v>
      </c>
      <c r="H164" t="s">
        <v>458</v>
      </c>
    </row>
    <row r="165" spans="1:8" ht="15" customHeight="1" x14ac:dyDescent="0.25">
      <c r="A165" t="s">
        <v>262</v>
      </c>
      <c r="B165" t="s">
        <v>263</v>
      </c>
      <c r="C165" s="1">
        <v>46119</v>
      </c>
      <c r="D165" s="5">
        <v>3.68</v>
      </c>
      <c r="E165" t="s">
        <v>12</v>
      </c>
      <c r="F165" t="s">
        <v>6</v>
      </c>
      <c r="G165" t="s">
        <v>309</v>
      </c>
      <c r="H165" t="s">
        <v>459</v>
      </c>
    </row>
    <row r="166" spans="1:8" ht="15" customHeight="1" x14ac:dyDescent="0.25">
      <c r="A166" t="s">
        <v>460</v>
      </c>
      <c r="B166" t="s">
        <v>461</v>
      </c>
      <c r="C166" s="1">
        <v>46119</v>
      </c>
      <c r="D166" s="5">
        <v>150.6</v>
      </c>
      <c r="E166" t="s">
        <v>12</v>
      </c>
      <c r="F166" t="s">
        <v>6</v>
      </c>
      <c r="G166" t="s">
        <v>128</v>
      </c>
      <c r="H166" t="s">
        <v>462</v>
      </c>
    </row>
    <row r="167" spans="1:8" ht="15" customHeight="1" x14ac:dyDescent="0.25">
      <c r="A167" t="s">
        <v>463</v>
      </c>
      <c r="B167" t="s">
        <v>464</v>
      </c>
      <c r="C167" s="1">
        <v>46119</v>
      </c>
      <c r="D167" s="5">
        <v>3.68</v>
      </c>
      <c r="E167" t="s">
        <v>12</v>
      </c>
      <c r="F167" t="s">
        <v>6</v>
      </c>
      <c r="G167" t="s">
        <v>309</v>
      </c>
      <c r="H167" t="s">
        <v>465</v>
      </c>
    </row>
    <row r="168" spans="1:8" ht="15" customHeight="1" x14ac:dyDescent="0.25">
      <c r="A168" t="s">
        <v>466</v>
      </c>
      <c r="B168" t="s">
        <v>467</v>
      </c>
      <c r="C168" s="1">
        <v>46119</v>
      </c>
      <c r="D168" s="5">
        <v>141.79</v>
      </c>
      <c r="E168" t="s">
        <v>12</v>
      </c>
      <c r="F168" t="s">
        <v>6</v>
      </c>
      <c r="G168" t="s">
        <v>468</v>
      </c>
      <c r="H168" t="s">
        <v>469</v>
      </c>
    </row>
    <row r="169" spans="1:8" ht="15" customHeight="1" x14ac:dyDescent="0.25">
      <c r="A169" t="s">
        <v>364</v>
      </c>
      <c r="B169" t="s">
        <v>365</v>
      </c>
      <c r="C169" s="1">
        <v>46119</v>
      </c>
      <c r="D169" s="5">
        <v>26</v>
      </c>
      <c r="E169" t="s">
        <v>12</v>
      </c>
      <c r="F169" t="s">
        <v>6</v>
      </c>
      <c r="G169" t="s">
        <v>128</v>
      </c>
      <c r="H169" t="s">
        <v>470</v>
      </c>
    </row>
    <row r="170" spans="1:8" ht="15" customHeight="1" x14ac:dyDescent="0.25">
      <c r="A170" t="s">
        <v>471</v>
      </c>
      <c r="B170" t="s">
        <v>472</v>
      </c>
      <c r="C170" s="1">
        <v>46119</v>
      </c>
      <c r="D170" s="5">
        <v>3</v>
      </c>
      <c r="E170" t="s">
        <v>12</v>
      </c>
      <c r="F170" t="s">
        <v>6</v>
      </c>
      <c r="G170" t="s">
        <v>124</v>
      </c>
      <c r="H170" t="s">
        <v>473</v>
      </c>
    </row>
    <row r="171" spans="1:8" ht="15" customHeight="1" x14ac:dyDescent="0.25">
      <c r="A171" t="s">
        <v>392</v>
      </c>
      <c r="B171" t="s">
        <v>393</v>
      </c>
      <c r="C171" s="1">
        <v>46119</v>
      </c>
      <c r="D171" s="5">
        <v>26</v>
      </c>
      <c r="E171" t="s">
        <v>12</v>
      </c>
      <c r="F171" t="s">
        <v>6</v>
      </c>
      <c r="G171" t="s">
        <v>128</v>
      </c>
      <c r="H171" t="s">
        <v>474</v>
      </c>
    </row>
    <row r="172" spans="1:8" ht="15" customHeight="1" x14ac:dyDescent="0.25">
      <c r="A172" t="s">
        <v>311</v>
      </c>
      <c r="B172" t="s">
        <v>312</v>
      </c>
      <c r="C172" s="1">
        <v>46119</v>
      </c>
      <c r="D172" s="5">
        <v>5.52</v>
      </c>
      <c r="E172" t="s">
        <v>12</v>
      </c>
      <c r="F172" t="s">
        <v>6</v>
      </c>
      <c r="G172" t="s">
        <v>135</v>
      </c>
      <c r="H172" t="s">
        <v>475</v>
      </c>
    </row>
    <row r="173" spans="1:8" ht="15" customHeight="1" x14ac:dyDescent="0.25">
      <c r="A173" t="s">
        <v>476</v>
      </c>
      <c r="B173" t="s">
        <v>477</v>
      </c>
      <c r="C173" s="1">
        <v>46119</v>
      </c>
      <c r="D173" s="5">
        <v>17.399999999999999</v>
      </c>
      <c r="E173" t="s">
        <v>12</v>
      </c>
      <c r="F173" t="s">
        <v>6</v>
      </c>
      <c r="G173" t="s">
        <v>124</v>
      </c>
      <c r="H173" t="s">
        <v>478</v>
      </c>
    </row>
    <row r="174" spans="1:8" ht="15" customHeight="1" x14ac:dyDescent="0.25">
      <c r="A174" t="s">
        <v>174</v>
      </c>
      <c r="B174" t="s">
        <v>175</v>
      </c>
      <c r="C174" s="1">
        <v>46119</v>
      </c>
      <c r="D174" s="5">
        <v>3</v>
      </c>
      <c r="E174" t="s">
        <v>12</v>
      </c>
      <c r="F174" t="s">
        <v>6</v>
      </c>
      <c r="G174" t="s">
        <v>314</v>
      </c>
      <c r="H174" t="s">
        <v>479</v>
      </c>
    </row>
    <row r="175" spans="1:8" ht="15" customHeight="1" x14ac:dyDescent="0.25">
      <c r="A175" t="s">
        <v>162</v>
      </c>
      <c r="B175" t="s">
        <v>163</v>
      </c>
      <c r="C175" s="1">
        <v>46119</v>
      </c>
      <c r="D175" s="5">
        <v>26</v>
      </c>
      <c r="E175" t="s">
        <v>12</v>
      </c>
      <c r="F175" t="s">
        <v>6</v>
      </c>
      <c r="G175" t="s">
        <v>128</v>
      </c>
      <c r="H175" t="s">
        <v>480</v>
      </c>
    </row>
    <row r="176" spans="1:8" ht="15" customHeight="1" x14ac:dyDescent="0.25">
      <c r="A176" t="s">
        <v>481</v>
      </c>
      <c r="B176" t="s">
        <v>482</v>
      </c>
      <c r="C176" s="1">
        <v>46119</v>
      </c>
      <c r="D176" s="5">
        <v>26</v>
      </c>
      <c r="E176" t="s">
        <v>12</v>
      </c>
      <c r="F176" t="s">
        <v>6</v>
      </c>
      <c r="G176" t="s">
        <v>128</v>
      </c>
      <c r="H176" t="s">
        <v>483</v>
      </c>
    </row>
    <row r="177" spans="1:8" ht="15" customHeight="1" x14ac:dyDescent="0.25">
      <c r="A177" t="s">
        <v>484</v>
      </c>
      <c r="B177" t="s">
        <v>485</v>
      </c>
      <c r="C177" s="1">
        <v>46119</v>
      </c>
      <c r="D177" s="5">
        <v>146.66999999999999</v>
      </c>
      <c r="E177" t="s">
        <v>12</v>
      </c>
      <c r="F177" t="s">
        <v>6</v>
      </c>
      <c r="G177" t="s">
        <v>128</v>
      </c>
      <c r="H177" t="s">
        <v>486</v>
      </c>
    </row>
    <row r="178" spans="1:8" ht="15" customHeight="1" x14ac:dyDescent="0.25">
      <c r="A178" t="s">
        <v>487</v>
      </c>
      <c r="B178" t="s">
        <v>488</v>
      </c>
      <c r="C178" s="1">
        <v>46119</v>
      </c>
      <c r="D178" s="5">
        <v>146.66999999999999</v>
      </c>
      <c r="E178" t="s">
        <v>12</v>
      </c>
      <c r="F178" t="s">
        <v>6</v>
      </c>
      <c r="G178" t="s">
        <v>128</v>
      </c>
      <c r="H178" t="s">
        <v>489</v>
      </c>
    </row>
    <row r="179" spans="1:8" ht="15" customHeight="1" x14ac:dyDescent="0.25">
      <c r="A179" t="s">
        <v>490</v>
      </c>
      <c r="B179" t="s">
        <v>491</v>
      </c>
      <c r="C179" s="1">
        <v>46119</v>
      </c>
      <c r="D179" s="5">
        <v>26</v>
      </c>
      <c r="E179" t="s">
        <v>12</v>
      </c>
      <c r="F179" t="s">
        <v>6</v>
      </c>
      <c r="G179" t="s">
        <v>128</v>
      </c>
      <c r="H179" t="s">
        <v>492</v>
      </c>
    </row>
    <row r="180" spans="1:8" ht="15" customHeight="1" x14ac:dyDescent="0.25">
      <c r="A180" t="s">
        <v>493</v>
      </c>
      <c r="B180" t="s">
        <v>494</v>
      </c>
      <c r="C180" s="1">
        <v>46119</v>
      </c>
      <c r="D180" s="5">
        <v>26</v>
      </c>
      <c r="E180" t="s">
        <v>12</v>
      </c>
      <c r="F180" t="s">
        <v>6</v>
      </c>
      <c r="G180" t="s">
        <v>128</v>
      </c>
      <c r="H180" t="s">
        <v>495</v>
      </c>
    </row>
    <row r="181" spans="1:8" ht="15" customHeight="1" x14ac:dyDescent="0.25">
      <c r="A181" t="s">
        <v>496</v>
      </c>
      <c r="B181" t="s">
        <v>497</v>
      </c>
      <c r="C181" s="1">
        <v>46119</v>
      </c>
      <c r="D181" s="5">
        <v>150.6</v>
      </c>
      <c r="E181" t="s">
        <v>12</v>
      </c>
      <c r="F181" t="s">
        <v>6</v>
      </c>
      <c r="G181" t="s">
        <v>128</v>
      </c>
      <c r="H181" t="s">
        <v>498</v>
      </c>
    </row>
    <row r="182" spans="1:8" ht="15" customHeight="1" x14ac:dyDescent="0.25">
      <c r="A182" t="s">
        <v>499</v>
      </c>
      <c r="B182" t="s">
        <v>500</v>
      </c>
      <c r="C182" s="1">
        <v>46119</v>
      </c>
      <c r="D182" s="5">
        <v>3.86</v>
      </c>
      <c r="E182" t="s">
        <v>12</v>
      </c>
      <c r="F182" t="s">
        <v>6</v>
      </c>
      <c r="G182" t="s">
        <v>124</v>
      </c>
      <c r="H182" t="s">
        <v>501</v>
      </c>
    </row>
    <row r="183" spans="1:8" ht="15" customHeight="1" x14ac:dyDescent="0.25">
      <c r="A183" t="s">
        <v>361</v>
      </c>
      <c r="B183" t="s">
        <v>362</v>
      </c>
      <c r="C183" s="1">
        <v>46119</v>
      </c>
      <c r="D183" s="5">
        <v>3.68</v>
      </c>
      <c r="E183" t="s">
        <v>12</v>
      </c>
      <c r="F183" t="s">
        <v>6</v>
      </c>
      <c r="G183" t="s">
        <v>264</v>
      </c>
      <c r="H183" t="s">
        <v>502</v>
      </c>
    </row>
    <row r="184" spans="1:8" ht="15" customHeight="1" x14ac:dyDescent="0.25">
      <c r="A184" t="s">
        <v>503</v>
      </c>
      <c r="B184" t="s">
        <v>504</v>
      </c>
      <c r="C184" s="1">
        <v>46119</v>
      </c>
      <c r="D184" s="5">
        <v>5.52</v>
      </c>
      <c r="E184" t="s">
        <v>12</v>
      </c>
      <c r="F184" t="s">
        <v>6</v>
      </c>
      <c r="G184" t="s">
        <v>296</v>
      </c>
      <c r="H184" t="s">
        <v>505</v>
      </c>
    </row>
    <row r="185" spans="1:8" ht="15" customHeight="1" x14ac:dyDescent="0.25">
      <c r="A185" t="s">
        <v>506</v>
      </c>
      <c r="B185" t="s">
        <v>507</v>
      </c>
      <c r="C185" s="1">
        <v>46119</v>
      </c>
      <c r="D185" s="5">
        <v>146.66999999999999</v>
      </c>
      <c r="E185" t="s">
        <v>12</v>
      </c>
      <c r="F185" t="s">
        <v>6</v>
      </c>
      <c r="G185" t="s">
        <v>222</v>
      </c>
      <c r="H185" t="s">
        <v>508</v>
      </c>
    </row>
    <row r="186" spans="1:8" ht="15" customHeight="1" x14ac:dyDescent="0.25">
      <c r="A186" t="s">
        <v>509</v>
      </c>
      <c r="B186" t="s">
        <v>510</v>
      </c>
      <c r="C186" s="1">
        <v>46119</v>
      </c>
      <c r="D186" s="5">
        <v>5.52</v>
      </c>
      <c r="E186" t="s">
        <v>12</v>
      </c>
      <c r="F186" t="s">
        <v>6</v>
      </c>
      <c r="G186" t="s">
        <v>231</v>
      </c>
      <c r="H186" t="s">
        <v>511</v>
      </c>
    </row>
    <row r="187" spans="1:8" ht="15" customHeight="1" x14ac:dyDescent="0.25">
      <c r="A187" t="s">
        <v>512</v>
      </c>
      <c r="B187" t="s">
        <v>513</v>
      </c>
      <c r="C187" s="1">
        <v>46119</v>
      </c>
      <c r="D187" s="5">
        <v>150.6</v>
      </c>
      <c r="E187" t="s">
        <v>12</v>
      </c>
      <c r="F187" t="s">
        <v>6</v>
      </c>
      <c r="G187" t="s">
        <v>128</v>
      </c>
      <c r="H187" t="s">
        <v>514</v>
      </c>
    </row>
    <row r="188" spans="1:8" ht="15" customHeight="1" x14ac:dyDescent="0.25">
      <c r="A188" t="s">
        <v>133</v>
      </c>
      <c r="B188" t="s">
        <v>134</v>
      </c>
      <c r="C188" s="1">
        <v>46119</v>
      </c>
      <c r="D188" s="5">
        <v>150.6</v>
      </c>
      <c r="E188" t="s">
        <v>12</v>
      </c>
      <c r="F188" t="s">
        <v>6</v>
      </c>
      <c r="G188" t="s">
        <v>128</v>
      </c>
      <c r="H188" t="s">
        <v>515</v>
      </c>
    </row>
    <row r="189" spans="1:8" ht="15" customHeight="1" x14ac:dyDescent="0.25">
      <c r="A189" t="s">
        <v>516</v>
      </c>
      <c r="B189" t="s">
        <v>517</v>
      </c>
      <c r="C189" s="1">
        <v>46119</v>
      </c>
      <c r="D189" s="5">
        <v>122.83</v>
      </c>
      <c r="E189" t="s">
        <v>12</v>
      </c>
      <c r="F189" t="s">
        <v>6</v>
      </c>
      <c r="G189" t="s">
        <v>264</v>
      </c>
      <c r="H189" t="s">
        <v>518</v>
      </c>
    </row>
    <row r="190" spans="1:8" ht="15" customHeight="1" x14ac:dyDescent="0.25">
      <c r="A190" t="s">
        <v>519</v>
      </c>
      <c r="B190" t="s">
        <v>520</v>
      </c>
      <c r="C190" s="1">
        <v>46119</v>
      </c>
      <c r="D190" s="5">
        <v>31.2</v>
      </c>
      <c r="E190" t="s">
        <v>12</v>
      </c>
      <c r="F190" t="s">
        <v>6</v>
      </c>
      <c r="G190" t="s">
        <v>231</v>
      </c>
      <c r="H190" t="s">
        <v>521</v>
      </c>
    </row>
    <row r="191" spans="1:8" ht="15" customHeight="1" x14ac:dyDescent="0.25">
      <c r="A191" t="s">
        <v>29</v>
      </c>
      <c r="B191" t="s">
        <v>32</v>
      </c>
      <c r="C191" s="1">
        <v>46119</v>
      </c>
      <c r="D191" s="5">
        <v>5.52</v>
      </c>
      <c r="E191" t="s">
        <v>12</v>
      </c>
      <c r="F191" t="s">
        <v>6</v>
      </c>
      <c r="G191" t="s">
        <v>231</v>
      </c>
      <c r="H191" t="s">
        <v>522</v>
      </c>
    </row>
    <row r="192" spans="1:8" ht="15" customHeight="1" x14ac:dyDescent="0.25">
      <c r="A192" t="s">
        <v>523</v>
      </c>
      <c r="B192" t="s">
        <v>524</v>
      </c>
      <c r="C192" s="1">
        <v>46119</v>
      </c>
      <c r="D192" s="5">
        <v>5.52</v>
      </c>
      <c r="E192" t="s">
        <v>12</v>
      </c>
      <c r="F192" t="s">
        <v>6</v>
      </c>
      <c r="G192" t="s">
        <v>292</v>
      </c>
      <c r="H192" t="s">
        <v>525</v>
      </c>
    </row>
    <row r="193" spans="1:8" ht="15" customHeight="1" x14ac:dyDescent="0.25">
      <c r="A193" t="s">
        <v>526</v>
      </c>
      <c r="B193" t="s">
        <v>527</v>
      </c>
      <c r="C193" s="1">
        <v>46119</v>
      </c>
      <c r="D193" s="5">
        <v>5.52</v>
      </c>
      <c r="E193" t="s">
        <v>12</v>
      </c>
      <c r="F193" t="s">
        <v>6</v>
      </c>
      <c r="G193" t="s">
        <v>292</v>
      </c>
      <c r="H193" t="s">
        <v>528</v>
      </c>
    </row>
    <row r="194" spans="1:8" ht="15" customHeight="1" x14ac:dyDescent="0.25">
      <c r="A194" t="s">
        <v>237</v>
      </c>
      <c r="B194" t="s">
        <v>238</v>
      </c>
      <c r="C194" s="1">
        <v>46119</v>
      </c>
      <c r="D194" s="5">
        <v>3.68</v>
      </c>
      <c r="E194" t="s">
        <v>12</v>
      </c>
      <c r="F194" t="s">
        <v>6</v>
      </c>
      <c r="G194" t="s">
        <v>239</v>
      </c>
      <c r="H194" t="s">
        <v>529</v>
      </c>
    </row>
    <row r="195" spans="1:8" ht="15" customHeight="1" x14ac:dyDescent="0.25">
      <c r="A195" t="s">
        <v>171</v>
      </c>
      <c r="B195" t="s">
        <v>172</v>
      </c>
      <c r="C195" s="1">
        <v>46119</v>
      </c>
      <c r="D195" s="5">
        <v>3.86</v>
      </c>
      <c r="E195" t="s">
        <v>12</v>
      </c>
      <c r="F195" t="s">
        <v>6</v>
      </c>
      <c r="G195" t="s">
        <v>148</v>
      </c>
      <c r="H195" t="s">
        <v>530</v>
      </c>
    </row>
    <row r="196" spans="1:8" ht="15" customHeight="1" x14ac:dyDescent="0.25">
      <c r="A196" t="s">
        <v>531</v>
      </c>
      <c r="B196" t="s">
        <v>532</v>
      </c>
      <c r="C196" s="1">
        <v>46119</v>
      </c>
      <c r="D196" s="5">
        <v>16.52</v>
      </c>
      <c r="E196" t="s">
        <v>12</v>
      </c>
      <c r="F196" t="s">
        <v>6</v>
      </c>
      <c r="G196" t="s">
        <v>264</v>
      </c>
      <c r="H196" t="s">
        <v>533</v>
      </c>
    </row>
    <row r="197" spans="1:8" ht="15" customHeight="1" x14ac:dyDescent="0.25">
      <c r="A197" t="s">
        <v>534</v>
      </c>
      <c r="B197" t="s">
        <v>535</v>
      </c>
      <c r="C197" s="1">
        <v>46119</v>
      </c>
      <c r="D197" s="5">
        <v>38.520000000000003</v>
      </c>
      <c r="E197" t="s">
        <v>12</v>
      </c>
      <c r="F197" t="s">
        <v>6</v>
      </c>
      <c r="G197" t="s">
        <v>260</v>
      </c>
      <c r="H197" t="s">
        <v>536</v>
      </c>
    </row>
    <row r="198" spans="1:8" ht="15" customHeight="1" x14ac:dyDescent="0.25">
      <c r="A198" t="s">
        <v>537</v>
      </c>
      <c r="B198" t="s">
        <v>538</v>
      </c>
      <c r="C198" s="1">
        <v>46119</v>
      </c>
      <c r="D198" s="5">
        <v>38.520000000000003</v>
      </c>
      <c r="E198" t="s">
        <v>12</v>
      </c>
      <c r="F198" t="s">
        <v>6</v>
      </c>
      <c r="G198" t="s">
        <v>260</v>
      </c>
      <c r="H198" t="s">
        <v>539</v>
      </c>
    </row>
    <row r="199" spans="1:8" ht="15" customHeight="1" x14ac:dyDescent="0.25">
      <c r="A199" t="s">
        <v>540</v>
      </c>
      <c r="B199" t="s">
        <v>541</v>
      </c>
      <c r="C199" s="1">
        <v>46119</v>
      </c>
      <c r="D199" s="5">
        <v>25.68</v>
      </c>
      <c r="E199" t="s">
        <v>12</v>
      </c>
      <c r="F199" t="s">
        <v>6</v>
      </c>
      <c r="G199" t="s">
        <v>260</v>
      </c>
      <c r="H199" t="s">
        <v>542</v>
      </c>
    </row>
    <row r="200" spans="1:8" ht="15" customHeight="1" x14ac:dyDescent="0.25">
      <c r="A200" t="s">
        <v>543</v>
      </c>
      <c r="B200" t="s">
        <v>544</v>
      </c>
      <c r="C200" s="1">
        <v>46119</v>
      </c>
      <c r="D200" s="5">
        <v>25.68</v>
      </c>
      <c r="E200" t="s">
        <v>12</v>
      </c>
      <c r="F200" t="s">
        <v>6</v>
      </c>
      <c r="G200" t="s">
        <v>260</v>
      </c>
      <c r="H200" t="s">
        <v>545</v>
      </c>
    </row>
    <row r="201" spans="1:8" ht="15" customHeight="1" x14ac:dyDescent="0.25">
      <c r="A201" t="s">
        <v>546</v>
      </c>
      <c r="B201" t="s">
        <v>547</v>
      </c>
      <c r="C201" s="1">
        <v>46119</v>
      </c>
      <c r="D201" s="5">
        <v>38.520000000000003</v>
      </c>
      <c r="E201" t="s">
        <v>12</v>
      </c>
      <c r="F201" t="s">
        <v>6</v>
      </c>
      <c r="G201" t="s">
        <v>260</v>
      </c>
      <c r="H201" t="s">
        <v>548</v>
      </c>
    </row>
    <row r="202" spans="1:8" ht="15" customHeight="1" x14ac:dyDescent="0.25">
      <c r="A202" t="s">
        <v>549</v>
      </c>
      <c r="B202" t="s">
        <v>550</v>
      </c>
      <c r="C202" s="1">
        <v>46120</v>
      </c>
      <c r="D202" s="5">
        <v>3.86</v>
      </c>
      <c r="E202" t="s">
        <v>12</v>
      </c>
      <c r="F202" t="s">
        <v>6</v>
      </c>
      <c r="G202" t="s">
        <v>183</v>
      </c>
      <c r="H202" t="s">
        <v>551</v>
      </c>
    </row>
    <row r="203" spans="1:8" ht="15" customHeight="1" x14ac:dyDescent="0.25">
      <c r="A203" t="s">
        <v>162</v>
      </c>
      <c r="B203" t="s">
        <v>163</v>
      </c>
      <c r="C203" s="1">
        <v>46120</v>
      </c>
      <c r="D203" s="5">
        <v>26</v>
      </c>
      <c r="E203" t="s">
        <v>12</v>
      </c>
      <c r="F203" t="s">
        <v>6</v>
      </c>
      <c r="G203" t="s">
        <v>128</v>
      </c>
      <c r="H203" t="s">
        <v>552</v>
      </c>
    </row>
    <row r="204" spans="1:8" ht="15" customHeight="1" x14ac:dyDescent="0.25">
      <c r="A204" t="s">
        <v>481</v>
      </c>
      <c r="B204" t="s">
        <v>482</v>
      </c>
      <c r="C204" s="1">
        <v>46120</v>
      </c>
      <c r="D204" s="5">
        <v>26</v>
      </c>
      <c r="E204" t="s">
        <v>12</v>
      </c>
      <c r="F204" t="s">
        <v>6</v>
      </c>
      <c r="G204" t="s">
        <v>128</v>
      </c>
      <c r="H204" t="s">
        <v>553</v>
      </c>
    </row>
    <row r="205" spans="1:8" ht="15" customHeight="1" x14ac:dyDescent="0.25">
      <c r="A205" t="s">
        <v>493</v>
      </c>
      <c r="B205" t="s">
        <v>494</v>
      </c>
      <c r="C205" s="1">
        <v>46120</v>
      </c>
      <c r="D205" s="5">
        <v>26</v>
      </c>
      <c r="E205" t="s">
        <v>12</v>
      </c>
      <c r="F205" t="s">
        <v>6</v>
      </c>
      <c r="G205" t="s">
        <v>128</v>
      </c>
      <c r="H205" t="s">
        <v>554</v>
      </c>
    </row>
    <row r="206" spans="1:8" ht="15" customHeight="1" x14ac:dyDescent="0.25">
      <c r="A206" t="s">
        <v>555</v>
      </c>
      <c r="B206" t="s">
        <v>556</v>
      </c>
      <c r="C206" s="1">
        <v>46120</v>
      </c>
      <c r="D206" s="5">
        <v>87</v>
      </c>
      <c r="E206" t="s">
        <v>12</v>
      </c>
      <c r="F206" t="s">
        <v>6</v>
      </c>
      <c r="G206" t="s">
        <v>183</v>
      </c>
      <c r="H206" t="s">
        <v>557</v>
      </c>
    </row>
    <row r="207" spans="1:8" ht="15" customHeight="1" x14ac:dyDescent="0.25">
      <c r="A207" t="s">
        <v>490</v>
      </c>
      <c r="B207" t="s">
        <v>491</v>
      </c>
      <c r="C207" s="1">
        <v>46120</v>
      </c>
      <c r="D207" s="5">
        <v>26</v>
      </c>
      <c r="E207" t="s">
        <v>558</v>
      </c>
      <c r="F207" t="s">
        <v>6</v>
      </c>
      <c r="G207" t="s">
        <v>128</v>
      </c>
      <c r="H207" t="s">
        <v>559</v>
      </c>
    </row>
    <row r="208" spans="1:8" ht="15" customHeight="1" x14ac:dyDescent="0.25">
      <c r="A208" t="s">
        <v>335</v>
      </c>
      <c r="B208" t="s">
        <v>336</v>
      </c>
      <c r="C208" s="1">
        <v>46120</v>
      </c>
      <c r="D208" s="5">
        <v>3.68</v>
      </c>
      <c r="E208" t="s">
        <v>558</v>
      </c>
      <c r="F208" t="s">
        <v>6</v>
      </c>
      <c r="G208" t="s">
        <v>264</v>
      </c>
      <c r="H208" t="s">
        <v>560</v>
      </c>
    </row>
    <row r="209" spans="1:8" ht="15" customHeight="1" x14ac:dyDescent="0.25">
      <c r="A209" t="s">
        <v>512</v>
      </c>
      <c r="B209" t="s">
        <v>513</v>
      </c>
      <c r="C209" s="1">
        <v>46120</v>
      </c>
      <c r="D209" s="5">
        <v>26</v>
      </c>
      <c r="E209" t="s">
        <v>558</v>
      </c>
      <c r="F209" t="s">
        <v>6</v>
      </c>
      <c r="G209" t="s">
        <v>128</v>
      </c>
      <c r="H209" t="s">
        <v>561</v>
      </c>
    </row>
    <row r="210" spans="1:8" ht="15" customHeight="1" x14ac:dyDescent="0.25">
      <c r="A210" t="s">
        <v>562</v>
      </c>
      <c r="B210" t="s">
        <v>563</v>
      </c>
      <c r="C210" s="1">
        <v>46120</v>
      </c>
      <c r="D210" s="5">
        <v>26</v>
      </c>
      <c r="E210" t="s">
        <v>558</v>
      </c>
      <c r="F210" t="s">
        <v>6</v>
      </c>
      <c r="G210" t="s">
        <v>128</v>
      </c>
      <c r="H210" t="s">
        <v>564</v>
      </c>
    </row>
    <row r="211" spans="1:8" ht="15" customHeight="1" x14ac:dyDescent="0.25">
      <c r="A211" t="s">
        <v>496</v>
      </c>
      <c r="B211" t="s">
        <v>497</v>
      </c>
      <c r="C211" s="1">
        <v>46120</v>
      </c>
      <c r="D211" s="5">
        <v>26</v>
      </c>
      <c r="E211" t="s">
        <v>558</v>
      </c>
      <c r="F211" t="s">
        <v>6</v>
      </c>
      <c r="G211" t="s">
        <v>128</v>
      </c>
      <c r="H211" t="s">
        <v>565</v>
      </c>
    </row>
    <row r="212" spans="1:8" ht="15" customHeight="1" x14ac:dyDescent="0.25">
      <c r="A212" t="s">
        <v>566</v>
      </c>
      <c r="B212" t="s">
        <v>567</v>
      </c>
      <c r="C212" s="1">
        <v>46120</v>
      </c>
      <c r="D212" s="5">
        <v>33.64</v>
      </c>
      <c r="E212" t="s">
        <v>558</v>
      </c>
      <c r="F212" t="s">
        <v>6</v>
      </c>
      <c r="G212" t="s">
        <v>121</v>
      </c>
      <c r="H212" t="s">
        <v>568</v>
      </c>
    </row>
    <row r="213" spans="1:8" ht="15" customHeight="1" x14ac:dyDescent="0.25">
      <c r="A213" t="s">
        <v>569</v>
      </c>
      <c r="B213" t="s">
        <v>570</v>
      </c>
      <c r="C213" s="1">
        <v>46120</v>
      </c>
      <c r="D213" s="5">
        <v>89.64</v>
      </c>
      <c r="E213" t="s">
        <v>558</v>
      </c>
      <c r="F213" t="s">
        <v>6</v>
      </c>
      <c r="G213" t="s">
        <v>571</v>
      </c>
      <c r="H213" t="s">
        <v>572</v>
      </c>
    </row>
    <row r="214" spans="1:8" ht="15" customHeight="1" x14ac:dyDescent="0.25">
      <c r="A214" t="s">
        <v>177</v>
      </c>
      <c r="B214" t="s">
        <v>178</v>
      </c>
      <c r="C214" s="1">
        <v>46120</v>
      </c>
      <c r="D214" s="5">
        <v>5.52</v>
      </c>
      <c r="E214" t="s">
        <v>558</v>
      </c>
      <c r="F214" t="s">
        <v>6</v>
      </c>
      <c r="G214" t="s">
        <v>128</v>
      </c>
      <c r="H214" t="s">
        <v>573</v>
      </c>
    </row>
    <row r="215" spans="1:8" ht="15" customHeight="1" x14ac:dyDescent="0.25">
      <c r="A215" t="s">
        <v>471</v>
      </c>
      <c r="B215" t="s">
        <v>472</v>
      </c>
      <c r="C215" s="1">
        <v>46120</v>
      </c>
      <c r="D215" s="5">
        <v>3</v>
      </c>
      <c r="E215" t="s">
        <v>558</v>
      </c>
      <c r="F215" t="s">
        <v>6</v>
      </c>
      <c r="G215" t="s">
        <v>124</v>
      </c>
      <c r="H215" t="s">
        <v>574</v>
      </c>
    </row>
    <row r="216" spans="1:8" ht="15" customHeight="1" x14ac:dyDescent="0.25">
      <c r="A216" t="s">
        <v>146</v>
      </c>
      <c r="B216" t="s">
        <v>147</v>
      </c>
      <c r="C216" s="1">
        <v>46120</v>
      </c>
      <c r="D216" s="5">
        <v>7.72</v>
      </c>
      <c r="E216" t="s">
        <v>558</v>
      </c>
      <c r="F216" t="s">
        <v>6</v>
      </c>
      <c r="G216" t="s">
        <v>148</v>
      </c>
      <c r="H216" t="s">
        <v>575</v>
      </c>
    </row>
    <row r="217" spans="1:8" ht="15" customHeight="1" x14ac:dyDescent="0.25">
      <c r="A217" t="s">
        <v>576</v>
      </c>
      <c r="B217" t="s">
        <v>577</v>
      </c>
      <c r="C217" s="1">
        <v>46120</v>
      </c>
      <c r="D217" s="5">
        <v>34.799999999999997</v>
      </c>
      <c r="E217" t="s">
        <v>558</v>
      </c>
      <c r="F217" t="s">
        <v>6</v>
      </c>
      <c r="G217" t="s">
        <v>183</v>
      </c>
      <c r="H217" t="s">
        <v>578</v>
      </c>
    </row>
    <row r="218" spans="1:8" ht="15" customHeight="1" x14ac:dyDescent="0.25">
      <c r="A218" t="s">
        <v>579</v>
      </c>
      <c r="B218" t="s">
        <v>580</v>
      </c>
      <c r="C218" s="1">
        <v>46120</v>
      </c>
      <c r="D218" s="5">
        <v>26</v>
      </c>
      <c r="E218" t="s">
        <v>558</v>
      </c>
      <c r="F218" t="s">
        <v>6</v>
      </c>
      <c r="G218" t="s">
        <v>128</v>
      </c>
      <c r="H218" t="s">
        <v>581</v>
      </c>
    </row>
    <row r="219" spans="1:8" ht="15" customHeight="1" x14ac:dyDescent="0.25">
      <c r="A219" t="s">
        <v>277</v>
      </c>
      <c r="B219" t="s">
        <v>278</v>
      </c>
      <c r="C219" s="1">
        <v>46120</v>
      </c>
      <c r="D219" s="5">
        <v>3</v>
      </c>
      <c r="E219" t="s">
        <v>558</v>
      </c>
      <c r="F219" t="s">
        <v>6</v>
      </c>
      <c r="G219" t="s">
        <v>183</v>
      </c>
      <c r="H219" t="s">
        <v>582</v>
      </c>
    </row>
    <row r="220" spans="1:8" ht="15" customHeight="1" x14ac:dyDescent="0.25">
      <c r="A220" t="s">
        <v>583</v>
      </c>
      <c r="B220" t="s">
        <v>584</v>
      </c>
      <c r="C220" s="1">
        <v>46120</v>
      </c>
      <c r="D220" s="5">
        <v>3</v>
      </c>
      <c r="E220" t="s">
        <v>558</v>
      </c>
      <c r="F220" t="s">
        <v>6</v>
      </c>
      <c r="G220" t="s">
        <v>183</v>
      </c>
      <c r="H220" t="s">
        <v>585</v>
      </c>
    </row>
    <row r="221" spans="1:8" ht="15" customHeight="1" x14ac:dyDescent="0.25">
      <c r="A221" t="s">
        <v>220</v>
      </c>
      <c r="B221" t="s">
        <v>221</v>
      </c>
      <c r="C221" s="1">
        <v>46120</v>
      </c>
      <c r="D221" s="5">
        <v>5.52</v>
      </c>
      <c r="E221" t="s">
        <v>558</v>
      </c>
      <c r="F221" t="s">
        <v>6</v>
      </c>
      <c r="G221" t="s">
        <v>128</v>
      </c>
      <c r="H221" t="s">
        <v>586</v>
      </c>
    </row>
    <row r="222" spans="1:8" ht="15" customHeight="1" x14ac:dyDescent="0.25">
      <c r="A222" t="s">
        <v>587</v>
      </c>
      <c r="B222" t="s">
        <v>588</v>
      </c>
      <c r="C222" s="1">
        <v>46120</v>
      </c>
      <c r="D222" s="5">
        <v>44.82</v>
      </c>
      <c r="E222" t="s">
        <v>558</v>
      </c>
      <c r="F222" t="s">
        <v>6</v>
      </c>
      <c r="G222" t="s">
        <v>148</v>
      </c>
      <c r="H222" t="s">
        <v>589</v>
      </c>
    </row>
    <row r="223" spans="1:8" ht="15" customHeight="1" x14ac:dyDescent="0.25">
      <c r="A223" t="s">
        <v>590</v>
      </c>
      <c r="B223" t="s">
        <v>591</v>
      </c>
      <c r="C223" s="1">
        <v>46120</v>
      </c>
      <c r="D223" s="5">
        <v>139.6</v>
      </c>
      <c r="E223" t="s">
        <v>558</v>
      </c>
      <c r="F223" t="s">
        <v>6</v>
      </c>
      <c r="G223" t="s">
        <v>592</v>
      </c>
      <c r="H223" t="s">
        <v>593</v>
      </c>
    </row>
    <row r="224" spans="1:8" ht="15" customHeight="1" x14ac:dyDescent="0.25">
      <c r="A224" t="s">
        <v>174</v>
      </c>
      <c r="B224" t="s">
        <v>175</v>
      </c>
      <c r="C224" s="1">
        <v>46120</v>
      </c>
      <c r="D224" s="5">
        <v>87</v>
      </c>
      <c r="E224" t="s">
        <v>558</v>
      </c>
      <c r="F224" t="s">
        <v>6</v>
      </c>
      <c r="G224" t="s">
        <v>314</v>
      </c>
      <c r="H224" t="s">
        <v>594</v>
      </c>
    </row>
    <row r="225" spans="1:8" ht="15" customHeight="1" x14ac:dyDescent="0.25">
      <c r="A225" t="s">
        <v>224</v>
      </c>
      <c r="B225" t="s">
        <v>225</v>
      </c>
      <c r="C225" s="1">
        <v>46120</v>
      </c>
      <c r="D225" s="5">
        <v>26</v>
      </c>
      <c r="E225" t="s">
        <v>558</v>
      </c>
      <c r="F225" t="s">
        <v>6</v>
      </c>
      <c r="G225" t="s">
        <v>128</v>
      </c>
      <c r="H225" t="s">
        <v>595</v>
      </c>
    </row>
    <row r="226" spans="1:8" ht="15" customHeight="1" x14ac:dyDescent="0.25">
      <c r="A226" t="s">
        <v>596</v>
      </c>
      <c r="B226" t="s">
        <v>597</v>
      </c>
      <c r="C226" s="1">
        <v>46120</v>
      </c>
      <c r="D226" s="5">
        <v>152.19</v>
      </c>
      <c r="E226" t="s">
        <v>558</v>
      </c>
      <c r="F226" t="s">
        <v>6</v>
      </c>
      <c r="G226" t="s">
        <v>292</v>
      </c>
      <c r="H226" t="s">
        <v>598</v>
      </c>
    </row>
    <row r="227" spans="1:8" ht="15" customHeight="1" x14ac:dyDescent="0.25">
      <c r="A227" t="s">
        <v>599</v>
      </c>
      <c r="B227" t="s">
        <v>600</v>
      </c>
      <c r="C227" s="1">
        <v>46120</v>
      </c>
      <c r="D227" s="5">
        <v>150.6</v>
      </c>
      <c r="E227" t="s">
        <v>558</v>
      </c>
      <c r="F227" t="s">
        <v>6</v>
      </c>
      <c r="G227" t="s">
        <v>128</v>
      </c>
      <c r="H227" t="s">
        <v>601</v>
      </c>
    </row>
    <row r="228" spans="1:8" ht="15" customHeight="1" x14ac:dyDescent="0.25">
      <c r="A228" t="s">
        <v>602</v>
      </c>
      <c r="B228" t="s">
        <v>603</v>
      </c>
      <c r="C228" s="1">
        <v>46120</v>
      </c>
      <c r="D228" s="5">
        <v>47.31</v>
      </c>
      <c r="E228" t="s">
        <v>558</v>
      </c>
      <c r="F228" t="s">
        <v>6</v>
      </c>
      <c r="G228" t="s">
        <v>592</v>
      </c>
      <c r="H228" t="s">
        <v>604</v>
      </c>
    </row>
    <row r="229" spans="1:8" ht="15" customHeight="1" x14ac:dyDescent="0.25">
      <c r="A229" t="s">
        <v>509</v>
      </c>
      <c r="B229" t="s">
        <v>510</v>
      </c>
      <c r="C229" s="1">
        <v>46120</v>
      </c>
      <c r="D229" s="5">
        <v>5.52</v>
      </c>
      <c r="E229" t="s">
        <v>558</v>
      </c>
      <c r="F229" t="s">
        <v>6</v>
      </c>
      <c r="G229" t="s">
        <v>231</v>
      </c>
      <c r="H229" t="s">
        <v>605</v>
      </c>
    </row>
    <row r="230" spans="1:8" ht="15" customHeight="1" x14ac:dyDescent="0.25">
      <c r="A230" t="s">
        <v>606</v>
      </c>
      <c r="B230" t="s">
        <v>607</v>
      </c>
      <c r="C230" s="1">
        <v>46120</v>
      </c>
      <c r="D230" s="5">
        <v>31.2</v>
      </c>
      <c r="E230" t="s">
        <v>558</v>
      </c>
      <c r="F230" t="s">
        <v>6</v>
      </c>
      <c r="G230" t="s">
        <v>135</v>
      </c>
      <c r="H230" t="s">
        <v>608</v>
      </c>
    </row>
    <row r="231" spans="1:8" ht="15" customHeight="1" x14ac:dyDescent="0.25">
      <c r="A231" t="s">
        <v>609</v>
      </c>
      <c r="B231" t="s">
        <v>610</v>
      </c>
      <c r="C231" s="1">
        <v>46120</v>
      </c>
      <c r="D231" s="5">
        <v>141.79</v>
      </c>
      <c r="E231" t="s">
        <v>558</v>
      </c>
      <c r="F231" t="s">
        <v>6</v>
      </c>
      <c r="G231" t="s">
        <v>135</v>
      </c>
      <c r="H231" t="s">
        <v>611</v>
      </c>
    </row>
    <row r="232" spans="1:8" ht="15" customHeight="1" x14ac:dyDescent="0.25">
      <c r="A232" t="s">
        <v>29</v>
      </c>
      <c r="B232" t="s">
        <v>32</v>
      </c>
      <c r="C232" s="1">
        <v>46120</v>
      </c>
      <c r="D232" s="5">
        <v>5.52</v>
      </c>
      <c r="E232" t="s">
        <v>558</v>
      </c>
      <c r="F232" t="s">
        <v>6</v>
      </c>
      <c r="G232" t="s">
        <v>231</v>
      </c>
      <c r="H232" t="s">
        <v>612</v>
      </c>
    </row>
    <row r="233" spans="1:8" ht="15" customHeight="1" x14ac:dyDescent="0.25">
      <c r="A233" t="s">
        <v>613</v>
      </c>
      <c r="B233" t="s">
        <v>614</v>
      </c>
      <c r="C233" s="1">
        <v>46121</v>
      </c>
      <c r="D233" s="5">
        <v>3</v>
      </c>
      <c r="E233" t="s">
        <v>558</v>
      </c>
      <c r="F233" t="s">
        <v>6</v>
      </c>
      <c r="G233" t="s">
        <v>183</v>
      </c>
      <c r="H233" t="s">
        <v>615</v>
      </c>
    </row>
    <row r="234" spans="1:8" ht="15" customHeight="1" x14ac:dyDescent="0.25">
      <c r="A234" t="s">
        <v>403</v>
      </c>
      <c r="B234" t="s">
        <v>404</v>
      </c>
      <c r="C234" s="1">
        <v>46121</v>
      </c>
      <c r="D234" s="5">
        <v>3</v>
      </c>
      <c r="E234" t="s">
        <v>558</v>
      </c>
      <c r="F234" t="s">
        <v>6</v>
      </c>
      <c r="G234" t="s">
        <v>183</v>
      </c>
      <c r="H234" t="s">
        <v>616</v>
      </c>
    </row>
    <row r="235" spans="1:8" ht="15" customHeight="1" x14ac:dyDescent="0.25">
      <c r="A235" t="s">
        <v>617</v>
      </c>
      <c r="B235" t="s">
        <v>618</v>
      </c>
      <c r="C235" s="1">
        <v>46121</v>
      </c>
      <c r="D235" s="5">
        <v>5.52</v>
      </c>
      <c r="E235" t="s">
        <v>558</v>
      </c>
      <c r="F235" t="s">
        <v>6</v>
      </c>
      <c r="G235" t="s">
        <v>128</v>
      </c>
      <c r="H235" t="s">
        <v>619</v>
      </c>
    </row>
    <row r="236" spans="1:8" ht="15" customHeight="1" x14ac:dyDescent="0.25">
      <c r="A236" t="s">
        <v>133</v>
      </c>
      <c r="B236" t="s">
        <v>134</v>
      </c>
      <c r="C236" s="1">
        <v>46121</v>
      </c>
      <c r="D236" s="5">
        <v>5.52</v>
      </c>
      <c r="E236" t="s">
        <v>558</v>
      </c>
      <c r="F236" t="s">
        <v>6</v>
      </c>
      <c r="G236" t="s">
        <v>128</v>
      </c>
      <c r="H236" t="s">
        <v>620</v>
      </c>
    </row>
    <row r="237" spans="1:8" ht="15" customHeight="1" x14ac:dyDescent="0.25">
      <c r="A237" t="s">
        <v>621</v>
      </c>
      <c r="B237" t="s">
        <v>59</v>
      </c>
      <c r="C237" s="1">
        <v>46121</v>
      </c>
      <c r="D237" s="5">
        <v>146.66999999999999</v>
      </c>
      <c r="E237" t="s">
        <v>558</v>
      </c>
      <c r="F237" t="s">
        <v>6</v>
      </c>
      <c r="G237" t="s">
        <v>128</v>
      </c>
      <c r="H237" t="s">
        <v>622</v>
      </c>
    </row>
    <row r="238" spans="1:8" ht="15" customHeight="1" x14ac:dyDescent="0.25">
      <c r="A238" t="s">
        <v>623</v>
      </c>
      <c r="B238" t="s">
        <v>624</v>
      </c>
      <c r="C238" s="1">
        <v>46121</v>
      </c>
      <c r="D238" s="5">
        <v>87</v>
      </c>
      <c r="E238" t="s">
        <v>558</v>
      </c>
      <c r="F238" t="s">
        <v>6</v>
      </c>
      <c r="G238" t="s">
        <v>625</v>
      </c>
      <c r="H238" t="s">
        <v>626</v>
      </c>
    </row>
    <row r="239" spans="1:8" ht="15" customHeight="1" x14ac:dyDescent="0.25">
      <c r="A239" t="s">
        <v>627</v>
      </c>
      <c r="B239" t="s">
        <v>628</v>
      </c>
      <c r="C239" s="1">
        <v>46121</v>
      </c>
      <c r="D239" s="5">
        <v>33.64</v>
      </c>
      <c r="E239" t="s">
        <v>558</v>
      </c>
      <c r="F239" t="s">
        <v>6</v>
      </c>
      <c r="G239" t="s">
        <v>121</v>
      </c>
      <c r="H239" t="s">
        <v>629</v>
      </c>
    </row>
    <row r="240" spans="1:8" ht="15" customHeight="1" x14ac:dyDescent="0.25">
      <c r="A240" t="s">
        <v>133</v>
      </c>
      <c r="B240" t="s">
        <v>134</v>
      </c>
      <c r="C240" s="1">
        <v>46121</v>
      </c>
      <c r="D240" s="5">
        <v>5.52</v>
      </c>
      <c r="E240" t="s">
        <v>558</v>
      </c>
      <c r="F240" t="s">
        <v>6</v>
      </c>
      <c r="G240" t="s">
        <v>135</v>
      </c>
      <c r="H240" t="s">
        <v>630</v>
      </c>
    </row>
    <row r="241" spans="1:8" ht="15" customHeight="1" x14ac:dyDescent="0.25">
      <c r="A241" t="s">
        <v>94</v>
      </c>
      <c r="B241" t="s">
        <v>95</v>
      </c>
      <c r="C241" s="1">
        <v>46121</v>
      </c>
      <c r="D241" s="5">
        <v>150.6</v>
      </c>
      <c r="E241" t="s">
        <v>558</v>
      </c>
      <c r="F241" t="s">
        <v>6</v>
      </c>
      <c r="G241" t="s">
        <v>128</v>
      </c>
      <c r="H241" t="s">
        <v>631</v>
      </c>
    </row>
    <row r="242" spans="1:8" ht="15" customHeight="1" x14ac:dyDescent="0.25">
      <c r="A242" t="s">
        <v>484</v>
      </c>
      <c r="B242" t="s">
        <v>485</v>
      </c>
      <c r="C242" s="1">
        <v>46121</v>
      </c>
      <c r="D242" s="5">
        <v>5.52</v>
      </c>
      <c r="E242" t="s">
        <v>558</v>
      </c>
      <c r="F242" t="s">
        <v>6</v>
      </c>
      <c r="G242" t="s">
        <v>135</v>
      </c>
      <c r="H242" t="s">
        <v>632</v>
      </c>
    </row>
    <row r="243" spans="1:8" ht="15" customHeight="1" x14ac:dyDescent="0.25">
      <c r="A243" t="s">
        <v>633</v>
      </c>
      <c r="B243" t="s">
        <v>634</v>
      </c>
      <c r="C243" s="1">
        <v>46121</v>
      </c>
      <c r="D243" s="5">
        <v>5.52</v>
      </c>
      <c r="E243" t="s">
        <v>558</v>
      </c>
      <c r="F243" t="s">
        <v>6</v>
      </c>
      <c r="G243" t="s">
        <v>128</v>
      </c>
      <c r="H243" t="s">
        <v>635</v>
      </c>
    </row>
    <row r="244" spans="1:8" ht="15" customHeight="1" x14ac:dyDescent="0.25">
      <c r="A244" t="s">
        <v>636</v>
      </c>
      <c r="B244" t="s">
        <v>637</v>
      </c>
      <c r="C244" s="1">
        <v>46121</v>
      </c>
      <c r="D244" s="5">
        <v>31.2</v>
      </c>
      <c r="E244" t="s">
        <v>558</v>
      </c>
      <c r="F244" t="s">
        <v>6</v>
      </c>
      <c r="G244" t="s">
        <v>231</v>
      </c>
      <c r="H244" t="s">
        <v>638</v>
      </c>
    </row>
    <row r="245" spans="1:8" ht="15" customHeight="1" x14ac:dyDescent="0.25">
      <c r="A245" t="s">
        <v>249</v>
      </c>
      <c r="B245" t="s">
        <v>250</v>
      </c>
      <c r="C245" s="1">
        <v>46121</v>
      </c>
      <c r="D245" s="5">
        <v>5.52</v>
      </c>
      <c r="E245" t="s">
        <v>558</v>
      </c>
      <c r="F245" t="s">
        <v>6</v>
      </c>
      <c r="G245" t="s">
        <v>128</v>
      </c>
      <c r="H245" t="s">
        <v>639</v>
      </c>
    </row>
    <row r="246" spans="1:8" ht="15" customHeight="1" x14ac:dyDescent="0.25">
      <c r="A246" t="s">
        <v>171</v>
      </c>
      <c r="B246" t="s">
        <v>172</v>
      </c>
      <c r="C246" s="1">
        <v>46121</v>
      </c>
      <c r="D246" s="5">
        <v>3.86</v>
      </c>
      <c r="E246" t="s">
        <v>558</v>
      </c>
      <c r="F246" t="s">
        <v>6</v>
      </c>
      <c r="G246" t="s">
        <v>148</v>
      </c>
      <c r="H246" t="s">
        <v>640</v>
      </c>
    </row>
    <row r="247" spans="1:8" ht="15" customHeight="1" x14ac:dyDescent="0.25">
      <c r="A247" t="s">
        <v>641</v>
      </c>
      <c r="B247" t="s">
        <v>642</v>
      </c>
      <c r="C247" s="1">
        <v>46121</v>
      </c>
      <c r="D247" s="5">
        <v>25.68</v>
      </c>
      <c r="E247" t="s">
        <v>558</v>
      </c>
      <c r="F247" t="s">
        <v>6</v>
      </c>
      <c r="G247" t="s">
        <v>239</v>
      </c>
      <c r="H247" t="s">
        <v>643</v>
      </c>
    </row>
    <row r="248" spans="1:8" ht="15" customHeight="1" x14ac:dyDescent="0.25">
      <c r="A248" t="s">
        <v>287</v>
      </c>
      <c r="B248" t="s">
        <v>288</v>
      </c>
      <c r="C248" s="1">
        <v>46122</v>
      </c>
      <c r="D248" s="5">
        <v>9</v>
      </c>
      <c r="E248" t="s">
        <v>558</v>
      </c>
      <c r="F248" t="s">
        <v>6</v>
      </c>
      <c r="G248" t="s">
        <v>644</v>
      </c>
      <c r="H248" t="s">
        <v>645</v>
      </c>
    </row>
    <row r="249" spans="1:8" ht="15" customHeight="1" x14ac:dyDescent="0.25">
      <c r="A249" t="s">
        <v>294</v>
      </c>
      <c r="B249" t="s">
        <v>646</v>
      </c>
      <c r="C249" s="1">
        <v>46122</v>
      </c>
      <c r="D249" s="5">
        <v>3.68</v>
      </c>
      <c r="E249" t="s">
        <v>558</v>
      </c>
      <c r="F249" t="s">
        <v>6</v>
      </c>
      <c r="G249" t="s">
        <v>318</v>
      </c>
      <c r="H249" t="s">
        <v>647</v>
      </c>
    </row>
    <row r="250" spans="1:8" ht="15" customHeight="1" x14ac:dyDescent="0.25">
      <c r="A250" t="s">
        <v>338</v>
      </c>
      <c r="B250" t="s">
        <v>339</v>
      </c>
      <c r="C250" s="1">
        <v>46122</v>
      </c>
      <c r="D250" s="5">
        <v>26</v>
      </c>
      <c r="E250" t="s">
        <v>558</v>
      </c>
      <c r="F250" t="s">
        <v>6</v>
      </c>
      <c r="G250" t="s">
        <v>128</v>
      </c>
      <c r="H250" t="s">
        <v>648</v>
      </c>
    </row>
    <row r="251" spans="1:8" ht="15" customHeight="1" x14ac:dyDescent="0.25">
      <c r="A251" t="s">
        <v>649</v>
      </c>
      <c r="B251" t="s">
        <v>650</v>
      </c>
      <c r="C251" s="1">
        <v>46122</v>
      </c>
      <c r="D251" s="5">
        <v>26</v>
      </c>
      <c r="E251" t="s">
        <v>558</v>
      </c>
      <c r="F251" t="s">
        <v>6</v>
      </c>
      <c r="G251" t="s">
        <v>128</v>
      </c>
      <c r="H251" t="s">
        <v>651</v>
      </c>
    </row>
    <row r="252" spans="1:8" ht="15" customHeight="1" x14ac:dyDescent="0.25">
      <c r="A252" t="s">
        <v>652</v>
      </c>
      <c r="B252" t="s">
        <v>653</v>
      </c>
      <c r="C252" s="1">
        <v>46122</v>
      </c>
      <c r="D252" s="5">
        <v>26</v>
      </c>
      <c r="E252" t="s">
        <v>558</v>
      </c>
      <c r="F252" t="s">
        <v>6</v>
      </c>
      <c r="G252" t="s">
        <v>128</v>
      </c>
      <c r="H252" t="s">
        <v>654</v>
      </c>
    </row>
    <row r="253" spans="1:8" ht="15" customHeight="1" x14ac:dyDescent="0.25">
      <c r="A253" t="s">
        <v>655</v>
      </c>
      <c r="B253" t="s">
        <v>656</v>
      </c>
      <c r="C253" s="1">
        <v>46122</v>
      </c>
      <c r="D253" s="5">
        <v>141.79</v>
      </c>
      <c r="E253" t="s">
        <v>558</v>
      </c>
      <c r="F253" t="s">
        <v>6</v>
      </c>
      <c r="G253" t="s">
        <v>657</v>
      </c>
      <c r="H253" t="s">
        <v>658</v>
      </c>
    </row>
    <row r="254" spans="1:8" ht="15" customHeight="1" x14ac:dyDescent="0.25">
      <c r="A254" t="s">
        <v>659</v>
      </c>
      <c r="B254" t="s">
        <v>660</v>
      </c>
      <c r="C254" s="1">
        <v>46122</v>
      </c>
      <c r="D254" s="5">
        <v>3</v>
      </c>
      <c r="E254" t="s">
        <v>558</v>
      </c>
      <c r="F254" t="s">
        <v>6</v>
      </c>
      <c r="G254" t="s">
        <v>183</v>
      </c>
      <c r="H254" t="s">
        <v>661</v>
      </c>
    </row>
    <row r="255" spans="1:8" ht="15" customHeight="1" x14ac:dyDescent="0.25">
      <c r="A255" t="s">
        <v>662</v>
      </c>
      <c r="B255" t="s">
        <v>663</v>
      </c>
      <c r="C255" s="1">
        <v>46122</v>
      </c>
      <c r="D255" s="5">
        <v>26</v>
      </c>
      <c r="E255" t="s">
        <v>558</v>
      </c>
      <c r="F255" t="s">
        <v>6</v>
      </c>
      <c r="G255" t="s">
        <v>128</v>
      </c>
      <c r="H255" t="s">
        <v>664</v>
      </c>
    </row>
    <row r="256" spans="1:8" ht="15" customHeight="1" x14ac:dyDescent="0.25">
      <c r="A256" t="s">
        <v>364</v>
      </c>
      <c r="B256" t="s">
        <v>365</v>
      </c>
      <c r="C256" s="1">
        <v>46122</v>
      </c>
      <c r="D256" s="5">
        <v>26</v>
      </c>
      <c r="E256" t="s">
        <v>558</v>
      </c>
      <c r="F256" t="s">
        <v>6</v>
      </c>
      <c r="G256" t="s">
        <v>128</v>
      </c>
      <c r="H256" t="s">
        <v>665</v>
      </c>
    </row>
    <row r="257" spans="1:8" ht="15" customHeight="1" x14ac:dyDescent="0.25">
      <c r="A257" t="s">
        <v>666</v>
      </c>
      <c r="B257" t="s">
        <v>667</v>
      </c>
      <c r="C257" s="1">
        <v>46122</v>
      </c>
      <c r="D257" s="5">
        <v>5.52</v>
      </c>
      <c r="E257" t="s">
        <v>558</v>
      </c>
      <c r="F257" t="s">
        <v>6</v>
      </c>
      <c r="G257" t="s">
        <v>292</v>
      </c>
      <c r="H257" t="s">
        <v>668</v>
      </c>
    </row>
    <row r="258" spans="1:8" ht="15" customHeight="1" x14ac:dyDescent="0.25">
      <c r="A258" t="s">
        <v>669</v>
      </c>
      <c r="B258" t="s">
        <v>670</v>
      </c>
      <c r="C258" s="1">
        <v>46122</v>
      </c>
      <c r="D258" s="5">
        <v>5.52</v>
      </c>
      <c r="E258" t="s">
        <v>558</v>
      </c>
      <c r="F258" t="s">
        <v>6</v>
      </c>
      <c r="G258" t="s">
        <v>292</v>
      </c>
      <c r="H258" t="s">
        <v>671</v>
      </c>
    </row>
    <row r="259" spans="1:8" ht="15" customHeight="1" x14ac:dyDescent="0.25">
      <c r="A259" t="s">
        <v>672</v>
      </c>
      <c r="B259" t="s">
        <v>673</v>
      </c>
      <c r="C259" s="1">
        <v>46122</v>
      </c>
      <c r="D259" s="5">
        <v>146.66999999999999</v>
      </c>
      <c r="E259" t="s">
        <v>558</v>
      </c>
      <c r="F259" t="s">
        <v>6</v>
      </c>
      <c r="G259" t="s">
        <v>222</v>
      </c>
      <c r="H259" t="s">
        <v>674</v>
      </c>
    </row>
    <row r="260" spans="1:8" ht="15" customHeight="1" x14ac:dyDescent="0.25">
      <c r="A260" t="s">
        <v>675</v>
      </c>
      <c r="B260" t="s">
        <v>676</v>
      </c>
      <c r="C260" s="1">
        <v>46122</v>
      </c>
      <c r="D260" s="5">
        <v>141.79</v>
      </c>
      <c r="E260" t="s">
        <v>558</v>
      </c>
      <c r="F260" t="s">
        <v>6</v>
      </c>
      <c r="G260" t="s">
        <v>235</v>
      </c>
      <c r="H260" t="s">
        <v>677</v>
      </c>
    </row>
    <row r="261" spans="1:8" ht="15" customHeight="1" x14ac:dyDescent="0.25">
      <c r="A261" t="s">
        <v>678</v>
      </c>
      <c r="B261" t="s">
        <v>679</v>
      </c>
      <c r="C261" s="1">
        <v>46122</v>
      </c>
      <c r="D261" s="5">
        <v>146.66999999999999</v>
      </c>
      <c r="E261" t="s">
        <v>558</v>
      </c>
      <c r="F261" t="s">
        <v>6</v>
      </c>
      <c r="G261" t="s">
        <v>222</v>
      </c>
      <c r="H261" t="s">
        <v>680</v>
      </c>
    </row>
    <row r="262" spans="1:8" ht="15" customHeight="1" x14ac:dyDescent="0.25">
      <c r="A262" t="s">
        <v>681</v>
      </c>
      <c r="B262" t="s">
        <v>682</v>
      </c>
      <c r="C262" s="1">
        <v>46122</v>
      </c>
      <c r="D262" s="5">
        <v>146.66999999999999</v>
      </c>
      <c r="E262" t="s">
        <v>558</v>
      </c>
      <c r="F262" t="s">
        <v>6</v>
      </c>
      <c r="G262" t="s">
        <v>222</v>
      </c>
      <c r="H262" t="s">
        <v>683</v>
      </c>
    </row>
    <row r="263" spans="1:8" ht="15" customHeight="1" x14ac:dyDescent="0.25">
      <c r="A263" t="s">
        <v>29</v>
      </c>
      <c r="B263" t="s">
        <v>32</v>
      </c>
      <c r="C263" s="1">
        <v>46122</v>
      </c>
      <c r="D263" s="5">
        <v>5.52</v>
      </c>
      <c r="E263" t="s">
        <v>558</v>
      </c>
      <c r="F263" t="s">
        <v>6</v>
      </c>
      <c r="G263" t="s">
        <v>231</v>
      </c>
      <c r="H263" t="s">
        <v>684</v>
      </c>
    </row>
    <row r="264" spans="1:8" ht="15" customHeight="1" x14ac:dyDescent="0.25">
      <c r="A264" t="s">
        <v>509</v>
      </c>
      <c r="B264" t="s">
        <v>510</v>
      </c>
      <c r="C264" s="1">
        <v>46122</v>
      </c>
      <c r="D264" s="5">
        <v>5.52</v>
      </c>
      <c r="E264" t="s">
        <v>558</v>
      </c>
      <c r="F264" t="s">
        <v>6</v>
      </c>
      <c r="G264" t="s">
        <v>231</v>
      </c>
      <c r="H264" t="s">
        <v>685</v>
      </c>
    </row>
    <row r="265" spans="1:8" ht="15" customHeight="1" x14ac:dyDescent="0.25">
      <c r="A265" t="s">
        <v>686</v>
      </c>
      <c r="B265" t="s">
        <v>687</v>
      </c>
      <c r="C265" s="1">
        <v>46122</v>
      </c>
      <c r="D265" s="5">
        <v>5.52</v>
      </c>
      <c r="E265" t="s">
        <v>558</v>
      </c>
      <c r="F265" t="s">
        <v>6</v>
      </c>
      <c r="G265" t="s">
        <v>292</v>
      </c>
      <c r="H265" t="s">
        <v>688</v>
      </c>
    </row>
    <row r="266" spans="1:8" ht="15" customHeight="1" x14ac:dyDescent="0.25">
      <c r="A266" t="s">
        <v>613</v>
      </c>
      <c r="B266" t="s">
        <v>614</v>
      </c>
      <c r="C266" s="1">
        <v>46122</v>
      </c>
      <c r="D266" s="5">
        <v>26</v>
      </c>
      <c r="E266" t="s">
        <v>558</v>
      </c>
      <c r="F266" t="s">
        <v>6</v>
      </c>
      <c r="G266" t="s">
        <v>128</v>
      </c>
      <c r="H266" t="s">
        <v>689</v>
      </c>
    </row>
    <row r="267" spans="1:8" ht="15" customHeight="1" x14ac:dyDescent="0.25">
      <c r="A267" t="s">
        <v>690</v>
      </c>
      <c r="B267" t="s">
        <v>691</v>
      </c>
      <c r="C267" s="1">
        <v>46122</v>
      </c>
      <c r="D267" s="5">
        <v>5.52</v>
      </c>
      <c r="E267" t="s">
        <v>558</v>
      </c>
      <c r="F267" t="s">
        <v>6</v>
      </c>
      <c r="G267" t="s">
        <v>128</v>
      </c>
      <c r="H267" t="s">
        <v>692</v>
      </c>
    </row>
    <row r="268" spans="1:8" ht="15" customHeight="1" x14ac:dyDescent="0.25">
      <c r="A268" t="s">
        <v>321</v>
      </c>
      <c r="B268" t="s">
        <v>322</v>
      </c>
      <c r="C268" s="1">
        <v>46122</v>
      </c>
      <c r="D268" s="5">
        <v>81.819999999999993</v>
      </c>
      <c r="E268" t="s">
        <v>558</v>
      </c>
      <c r="F268" t="s">
        <v>6</v>
      </c>
      <c r="G268" t="s">
        <v>148</v>
      </c>
      <c r="H268" t="s">
        <v>693</v>
      </c>
    </row>
    <row r="269" spans="1:8" ht="15" customHeight="1" x14ac:dyDescent="0.25">
      <c r="A269" t="s">
        <v>471</v>
      </c>
      <c r="B269" t="s">
        <v>472</v>
      </c>
      <c r="C269" s="1">
        <v>46122</v>
      </c>
      <c r="D269" s="5">
        <v>3</v>
      </c>
      <c r="E269" t="s">
        <v>558</v>
      </c>
      <c r="F269" t="s">
        <v>6</v>
      </c>
      <c r="G269" t="s">
        <v>314</v>
      </c>
      <c r="H269" t="s">
        <v>694</v>
      </c>
    </row>
    <row r="270" spans="1:8" ht="15" customHeight="1" x14ac:dyDescent="0.25">
      <c r="A270" t="s">
        <v>695</v>
      </c>
      <c r="B270" t="s">
        <v>696</v>
      </c>
      <c r="C270" s="1">
        <v>46122</v>
      </c>
      <c r="D270" s="5">
        <v>152.53</v>
      </c>
      <c r="E270" t="s">
        <v>558</v>
      </c>
      <c r="F270" t="s">
        <v>6</v>
      </c>
      <c r="G270" t="s">
        <v>235</v>
      </c>
      <c r="H270" t="s">
        <v>697</v>
      </c>
    </row>
    <row r="271" spans="1:8" ht="15" customHeight="1" x14ac:dyDescent="0.25">
      <c r="A271" t="s">
        <v>356</v>
      </c>
      <c r="B271" t="s">
        <v>357</v>
      </c>
      <c r="C271" s="1">
        <v>46125</v>
      </c>
      <c r="D271" s="5">
        <v>5.52</v>
      </c>
      <c r="E271" t="s">
        <v>558</v>
      </c>
      <c r="F271" t="s">
        <v>6</v>
      </c>
      <c r="G271" t="s">
        <v>235</v>
      </c>
      <c r="H271" t="s">
        <v>698</v>
      </c>
    </row>
    <row r="272" spans="1:8" ht="15" customHeight="1" x14ac:dyDescent="0.25">
      <c r="A272" t="s">
        <v>484</v>
      </c>
      <c r="B272" t="s">
        <v>485</v>
      </c>
      <c r="C272" s="1">
        <v>46125</v>
      </c>
      <c r="D272" s="5">
        <v>5.52</v>
      </c>
      <c r="E272" t="s">
        <v>558</v>
      </c>
      <c r="F272" t="s">
        <v>6</v>
      </c>
      <c r="G272" t="s">
        <v>135</v>
      </c>
      <c r="H272" t="s">
        <v>699</v>
      </c>
    </row>
    <row r="273" spans="1:8" ht="15" customHeight="1" x14ac:dyDescent="0.25">
      <c r="A273" t="s">
        <v>700</v>
      </c>
      <c r="B273" t="s">
        <v>701</v>
      </c>
      <c r="C273" s="1">
        <v>46125</v>
      </c>
      <c r="D273" s="5">
        <v>150.6</v>
      </c>
      <c r="E273" t="s">
        <v>558</v>
      </c>
      <c r="F273" t="s">
        <v>6</v>
      </c>
      <c r="G273" t="s">
        <v>128</v>
      </c>
      <c r="H273" t="s">
        <v>702</v>
      </c>
    </row>
    <row r="274" spans="1:8" ht="15" customHeight="1" x14ac:dyDescent="0.25">
      <c r="A274" t="s">
        <v>162</v>
      </c>
      <c r="B274" t="s">
        <v>163</v>
      </c>
      <c r="C274" s="1">
        <v>46125</v>
      </c>
      <c r="D274" s="5">
        <v>26</v>
      </c>
      <c r="E274" t="s">
        <v>558</v>
      </c>
      <c r="F274" t="s">
        <v>6</v>
      </c>
      <c r="G274" t="s">
        <v>128</v>
      </c>
      <c r="H274" t="s">
        <v>703</v>
      </c>
    </row>
    <row r="275" spans="1:8" ht="15" customHeight="1" x14ac:dyDescent="0.25">
      <c r="A275" t="s">
        <v>704</v>
      </c>
      <c r="B275" t="s">
        <v>705</v>
      </c>
      <c r="C275" s="1">
        <v>46125</v>
      </c>
      <c r="D275" s="5">
        <v>26</v>
      </c>
      <c r="E275" t="s">
        <v>558</v>
      </c>
      <c r="F275" t="s">
        <v>6</v>
      </c>
      <c r="G275" t="s">
        <v>128</v>
      </c>
      <c r="H275" t="s">
        <v>706</v>
      </c>
    </row>
    <row r="276" spans="1:8" ht="15" customHeight="1" x14ac:dyDescent="0.25">
      <c r="A276" t="s">
        <v>562</v>
      </c>
      <c r="B276" t="s">
        <v>563</v>
      </c>
      <c r="C276" s="1">
        <v>46125</v>
      </c>
      <c r="D276" s="5">
        <v>26</v>
      </c>
      <c r="E276" t="s">
        <v>558</v>
      </c>
      <c r="F276" t="s">
        <v>6</v>
      </c>
      <c r="G276" t="s">
        <v>128</v>
      </c>
      <c r="H276" t="s">
        <v>707</v>
      </c>
    </row>
    <row r="277" spans="1:8" ht="15" customHeight="1" x14ac:dyDescent="0.25">
      <c r="A277" t="s">
        <v>471</v>
      </c>
      <c r="B277" t="s">
        <v>472</v>
      </c>
      <c r="C277" s="1">
        <v>46125</v>
      </c>
      <c r="D277" s="5">
        <v>3</v>
      </c>
      <c r="E277" t="s">
        <v>558</v>
      </c>
      <c r="F277" t="s">
        <v>6</v>
      </c>
      <c r="G277" t="s">
        <v>124</v>
      </c>
      <c r="H277" t="s">
        <v>708</v>
      </c>
    </row>
    <row r="278" spans="1:8" ht="15" customHeight="1" x14ac:dyDescent="0.25">
      <c r="A278" t="s">
        <v>281</v>
      </c>
      <c r="B278" t="s">
        <v>282</v>
      </c>
      <c r="C278" s="1">
        <v>46125</v>
      </c>
      <c r="D278" s="5">
        <v>26</v>
      </c>
      <c r="E278" t="s">
        <v>558</v>
      </c>
      <c r="F278" t="s">
        <v>6</v>
      </c>
      <c r="G278" t="s">
        <v>128</v>
      </c>
      <c r="H278" t="s">
        <v>709</v>
      </c>
    </row>
    <row r="279" spans="1:8" ht="15" customHeight="1" x14ac:dyDescent="0.25">
      <c r="A279" t="s">
        <v>710</v>
      </c>
      <c r="B279" t="s">
        <v>711</v>
      </c>
      <c r="C279" s="1">
        <v>46125</v>
      </c>
      <c r="D279" s="5">
        <v>3.68</v>
      </c>
      <c r="E279" t="s">
        <v>558</v>
      </c>
      <c r="F279" t="s">
        <v>6</v>
      </c>
      <c r="G279" t="s">
        <v>264</v>
      </c>
      <c r="H279" t="s">
        <v>712</v>
      </c>
    </row>
    <row r="280" spans="1:8" ht="15" customHeight="1" x14ac:dyDescent="0.25">
      <c r="A280" t="s">
        <v>713</v>
      </c>
      <c r="B280" t="s">
        <v>714</v>
      </c>
      <c r="C280" s="1">
        <v>46125</v>
      </c>
      <c r="D280" s="5">
        <v>31.2</v>
      </c>
      <c r="E280" t="s">
        <v>558</v>
      </c>
      <c r="F280" t="s">
        <v>6</v>
      </c>
      <c r="G280" t="s">
        <v>292</v>
      </c>
      <c r="H280" t="s">
        <v>715</v>
      </c>
    </row>
    <row r="281" spans="1:8" ht="15" customHeight="1" x14ac:dyDescent="0.25">
      <c r="A281" t="s">
        <v>716</v>
      </c>
      <c r="B281" t="s">
        <v>717</v>
      </c>
      <c r="C281" s="1">
        <v>46125</v>
      </c>
      <c r="D281" s="5">
        <v>26</v>
      </c>
      <c r="E281" t="s">
        <v>558</v>
      </c>
      <c r="F281" t="s">
        <v>6</v>
      </c>
      <c r="G281" t="s">
        <v>128</v>
      </c>
      <c r="H281" t="s">
        <v>718</v>
      </c>
    </row>
    <row r="282" spans="1:8" ht="15" customHeight="1" x14ac:dyDescent="0.25">
      <c r="A282" t="s">
        <v>237</v>
      </c>
      <c r="B282" t="s">
        <v>238</v>
      </c>
      <c r="C282" s="1">
        <v>46125</v>
      </c>
      <c r="D282" s="5">
        <v>3.68</v>
      </c>
      <c r="E282" t="s">
        <v>558</v>
      </c>
      <c r="F282" t="s">
        <v>6</v>
      </c>
      <c r="G282" t="s">
        <v>239</v>
      </c>
      <c r="H282" t="s">
        <v>719</v>
      </c>
    </row>
    <row r="283" spans="1:8" ht="15" customHeight="1" x14ac:dyDescent="0.25">
      <c r="A283" t="s">
        <v>720</v>
      </c>
      <c r="B283" t="s">
        <v>721</v>
      </c>
      <c r="C283" s="1">
        <v>46125</v>
      </c>
      <c r="D283" s="5">
        <v>31.2</v>
      </c>
      <c r="E283" t="s">
        <v>558</v>
      </c>
      <c r="F283" t="s">
        <v>6</v>
      </c>
      <c r="G283" t="s">
        <v>135</v>
      </c>
      <c r="H283" t="s">
        <v>722</v>
      </c>
    </row>
    <row r="284" spans="1:8" ht="15" customHeight="1" x14ac:dyDescent="0.25">
      <c r="A284" t="s">
        <v>723</v>
      </c>
      <c r="B284" t="s">
        <v>724</v>
      </c>
      <c r="C284" s="1">
        <v>46125</v>
      </c>
      <c r="D284" s="5">
        <v>141.79</v>
      </c>
      <c r="E284" t="s">
        <v>558</v>
      </c>
      <c r="F284" t="s">
        <v>6</v>
      </c>
      <c r="G284" t="s">
        <v>135</v>
      </c>
      <c r="H284" t="s">
        <v>725</v>
      </c>
    </row>
    <row r="285" spans="1:8" ht="15" customHeight="1" x14ac:dyDescent="0.25">
      <c r="A285" t="s">
        <v>602</v>
      </c>
      <c r="B285" t="s">
        <v>603</v>
      </c>
      <c r="C285" s="1">
        <v>46125</v>
      </c>
      <c r="D285" s="5">
        <v>5.52</v>
      </c>
      <c r="E285" t="s">
        <v>558</v>
      </c>
      <c r="F285" t="s">
        <v>6</v>
      </c>
      <c r="G285" t="s">
        <v>318</v>
      </c>
      <c r="H285" t="s">
        <v>726</v>
      </c>
    </row>
    <row r="286" spans="1:8" ht="15" customHeight="1" x14ac:dyDescent="0.25">
      <c r="A286" t="s">
        <v>298</v>
      </c>
      <c r="B286" t="s">
        <v>299</v>
      </c>
      <c r="C286" s="1">
        <v>46125</v>
      </c>
      <c r="D286" s="5">
        <v>5.52</v>
      </c>
      <c r="E286" t="s">
        <v>558</v>
      </c>
      <c r="F286" t="s">
        <v>6</v>
      </c>
      <c r="G286" t="s">
        <v>135</v>
      </c>
      <c r="H286" t="s">
        <v>727</v>
      </c>
    </row>
    <row r="287" spans="1:8" ht="15" customHeight="1" x14ac:dyDescent="0.25">
      <c r="A287" t="s">
        <v>29</v>
      </c>
      <c r="B287" t="s">
        <v>32</v>
      </c>
      <c r="C287" s="1">
        <v>46125</v>
      </c>
      <c r="D287" s="5">
        <v>5.52</v>
      </c>
      <c r="E287" t="s">
        <v>558</v>
      </c>
      <c r="F287" t="s">
        <v>6</v>
      </c>
      <c r="G287" t="s">
        <v>231</v>
      </c>
      <c r="H287" t="s">
        <v>728</v>
      </c>
    </row>
    <row r="288" spans="1:8" ht="15" customHeight="1" x14ac:dyDescent="0.25">
      <c r="A288" t="s">
        <v>509</v>
      </c>
      <c r="B288" t="s">
        <v>510</v>
      </c>
      <c r="C288" s="1">
        <v>46125</v>
      </c>
      <c r="D288" s="5">
        <v>5.52</v>
      </c>
      <c r="E288" t="s">
        <v>558</v>
      </c>
      <c r="F288" t="s">
        <v>6</v>
      </c>
      <c r="G288" t="s">
        <v>231</v>
      </c>
      <c r="H288" t="s">
        <v>729</v>
      </c>
    </row>
    <row r="289" spans="1:8" ht="15" customHeight="1" x14ac:dyDescent="0.25">
      <c r="A289" t="s">
        <v>730</v>
      </c>
      <c r="B289" t="s">
        <v>731</v>
      </c>
      <c r="C289" s="1">
        <v>46125</v>
      </c>
      <c r="D289" s="5">
        <v>31.2</v>
      </c>
      <c r="E289" t="s">
        <v>558</v>
      </c>
      <c r="F289" t="s">
        <v>6</v>
      </c>
      <c r="G289" t="s">
        <v>135</v>
      </c>
      <c r="H289" t="s">
        <v>732</v>
      </c>
    </row>
    <row r="290" spans="1:8" ht="15" customHeight="1" x14ac:dyDescent="0.25">
      <c r="A290" t="s">
        <v>672</v>
      </c>
      <c r="B290" t="s">
        <v>673</v>
      </c>
      <c r="C290" s="1">
        <v>46125</v>
      </c>
      <c r="D290" s="5">
        <v>38.520000000000003</v>
      </c>
      <c r="E290" t="s">
        <v>558</v>
      </c>
      <c r="F290" t="s">
        <v>6</v>
      </c>
      <c r="G290" t="s">
        <v>128</v>
      </c>
      <c r="H290" t="s">
        <v>733</v>
      </c>
    </row>
    <row r="291" spans="1:8" ht="15" customHeight="1" x14ac:dyDescent="0.25">
      <c r="A291" t="s">
        <v>171</v>
      </c>
      <c r="B291" t="s">
        <v>172</v>
      </c>
      <c r="C291" s="1">
        <v>46125</v>
      </c>
      <c r="D291" s="5">
        <v>3.86</v>
      </c>
      <c r="E291" t="s">
        <v>558</v>
      </c>
      <c r="F291" t="s">
        <v>6</v>
      </c>
      <c r="G291" t="s">
        <v>148</v>
      </c>
      <c r="H291" t="s">
        <v>734</v>
      </c>
    </row>
    <row r="292" spans="1:8" ht="15" customHeight="1" x14ac:dyDescent="0.25">
      <c r="A292" t="s">
        <v>735</v>
      </c>
      <c r="B292" t="s">
        <v>736</v>
      </c>
      <c r="C292" s="1">
        <v>46125</v>
      </c>
      <c r="D292" s="5">
        <v>7.36</v>
      </c>
      <c r="E292" t="s">
        <v>558</v>
      </c>
      <c r="F292" t="s">
        <v>6</v>
      </c>
      <c r="G292" t="s">
        <v>292</v>
      </c>
      <c r="H292" t="s">
        <v>737</v>
      </c>
    </row>
    <row r="293" spans="1:8" ht="15" customHeight="1" x14ac:dyDescent="0.25">
      <c r="A293" t="s">
        <v>738</v>
      </c>
      <c r="B293" t="s">
        <v>739</v>
      </c>
      <c r="C293" s="1">
        <v>46125</v>
      </c>
      <c r="D293" s="5">
        <v>3</v>
      </c>
      <c r="E293" t="s">
        <v>558</v>
      </c>
      <c r="F293" t="s">
        <v>6</v>
      </c>
      <c r="G293" t="s">
        <v>124</v>
      </c>
      <c r="H293" t="s">
        <v>740</v>
      </c>
    </row>
    <row r="294" spans="1:8" ht="15" customHeight="1" x14ac:dyDescent="0.25">
      <c r="A294" t="s">
        <v>741</v>
      </c>
      <c r="B294" t="s">
        <v>742</v>
      </c>
      <c r="C294" s="1">
        <v>46125</v>
      </c>
      <c r="D294" s="5">
        <v>146.66999999999999</v>
      </c>
      <c r="E294" t="s">
        <v>558</v>
      </c>
      <c r="F294" t="s">
        <v>6</v>
      </c>
      <c r="G294" t="s">
        <v>128</v>
      </c>
      <c r="H294" t="s">
        <v>743</v>
      </c>
    </row>
    <row r="295" spans="1:8" ht="15" customHeight="1" x14ac:dyDescent="0.25">
      <c r="A295" t="s">
        <v>744</v>
      </c>
      <c r="B295" t="s">
        <v>745</v>
      </c>
      <c r="C295" s="1">
        <v>46125</v>
      </c>
      <c r="D295" s="5">
        <v>141.79</v>
      </c>
      <c r="E295" t="s">
        <v>558</v>
      </c>
      <c r="F295" t="s">
        <v>6</v>
      </c>
      <c r="G295" t="s">
        <v>235</v>
      </c>
      <c r="H295" t="s">
        <v>746</v>
      </c>
    </row>
    <row r="296" spans="1:8" ht="15" customHeight="1" x14ac:dyDescent="0.25">
      <c r="A296" t="s">
        <v>716</v>
      </c>
      <c r="B296" t="s">
        <v>717</v>
      </c>
      <c r="C296" s="1">
        <v>46125</v>
      </c>
      <c r="D296" s="5">
        <v>146.66999999999999</v>
      </c>
      <c r="E296" t="s">
        <v>558</v>
      </c>
      <c r="F296" t="s">
        <v>6</v>
      </c>
      <c r="G296" t="s">
        <v>128</v>
      </c>
      <c r="H296" t="s">
        <v>747</v>
      </c>
    </row>
    <row r="297" spans="1:8" ht="15" customHeight="1" x14ac:dyDescent="0.25">
      <c r="A297" s="6" t="s">
        <v>748</v>
      </c>
      <c r="B297" t="s">
        <v>749</v>
      </c>
      <c r="C297" s="1">
        <v>46125</v>
      </c>
      <c r="D297" s="5">
        <v>141.79</v>
      </c>
      <c r="E297" t="s">
        <v>558</v>
      </c>
      <c r="F297" t="s">
        <v>6</v>
      </c>
      <c r="G297" t="s">
        <v>235</v>
      </c>
      <c r="H297" t="s">
        <v>750</v>
      </c>
    </row>
    <row r="298" spans="1:8" ht="15" customHeight="1" x14ac:dyDescent="0.25">
      <c r="A298" t="s">
        <v>329</v>
      </c>
      <c r="B298" t="s">
        <v>330</v>
      </c>
      <c r="C298" s="1">
        <v>46125</v>
      </c>
      <c r="D298" s="5">
        <v>3.68</v>
      </c>
      <c r="E298" t="s">
        <v>558</v>
      </c>
      <c r="F298" t="s">
        <v>6</v>
      </c>
      <c r="G298" t="s">
        <v>260</v>
      </c>
      <c r="H298" t="s">
        <v>751</v>
      </c>
    </row>
    <row r="299" spans="1:8" ht="15" customHeight="1" x14ac:dyDescent="0.25">
      <c r="A299" t="s">
        <v>752</v>
      </c>
      <c r="B299" t="s">
        <v>753</v>
      </c>
      <c r="C299" s="1">
        <v>46125</v>
      </c>
      <c r="D299" s="5">
        <v>38.520000000000003</v>
      </c>
      <c r="E299" t="s">
        <v>558</v>
      </c>
      <c r="F299" t="s">
        <v>6</v>
      </c>
      <c r="G299" t="s">
        <v>128</v>
      </c>
      <c r="H299" t="s">
        <v>754</v>
      </c>
    </row>
    <row r="300" spans="1:8" ht="15" customHeight="1" x14ac:dyDescent="0.25">
      <c r="A300" t="s">
        <v>755</v>
      </c>
      <c r="B300" t="s">
        <v>756</v>
      </c>
      <c r="C300" s="1">
        <v>46125</v>
      </c>
      <c r="D300" s="5">
        <v>3.68</v>
      </c>
      <c r="E300" t="s">
        <v>558</v>
      </c>
      <c r="F300" t="s">
        <v>6</v>
      </c>
      <c r="G300" t="s">
        <v>264</v>
      </c>
      <c r="H300" t="s">
        <v>757</v>
      </c>
    </row>
    <row r="301" spans="1:8" ht="15" customHeight="1" x14ac:dyDescent="0.25">
      <c r="A301" t="s">
        <v>758</v>
      </c>
      <c r="B301" t="s">
        <v>759</v>
      </c>
      <c r="C301" s="1">
        <v>46125</v>
      </c>
      <c r="D301" s="5">
        <v>122.83</v>
      </c>
      <c r="E301" t="s">
        <v>558</v>
      </c>
      <c r="F301" t="s">
        <v>6</v>
      </c>
      <c r="G301" t="s">
        <v>264</v>
      </c>
      <c r="H301" t="s">
        <v>760</v>
      </c>
    </row>
    <row r="302" spans="1:8" ht="15" customHeight="1" x14ac:dyDescent="0.25">
      <c r="A302" t="s">
        <v>82</v>
      </c>
      <c r="B302" t="s">
        <v>83</v>
      </c>
      <c r="C302" s="1">
        <v>46126</v>
      </c>
      <c r="D302" s="5">
        <v>3.89</v>
      </c>
      <c r="E302" t="s">
        <v>558</v>
      </c>
      <c r="F302" t="s">
        <v>6</v>
      </c>
      <c r="G302" t="s">
        <v>124</v>
      </c>
      <c r="H302" t="s">
        <v>761</v>
      </c>
    </row>
    <row r="303" spans="1:8" ht="15" customHeight="1" x14ac:dyDescent="0.25">
      <c r="A303" t="s">
        <v>613</v>
      </c>
      <c r="B303" t="s">
        <v>614</v>
      </c>
      <c r="C303" s="1">
        <v>46126</v>
      </c>
      <c r="D303" s="5">
        <v>3</v>
      </c>
      <c r="E303" t="s">
        <v>558</v>
      </c>
      <c r="F303" t="s">
        <v>6</v>
      </c>
      <c r="G303" t="s">
        <v>124</v>
      </c>
      <c r="H303" t="s">
        <v>762</v>
      </c>
    </row>
    <row r="304" spans="1:8" ht="15" customHeight="1" x14ac:dyDescent="0.25">
      <c r="A304" t="s">
        <v>606</v>
      </c>
      <c r="B304" t="s">
        <v>607</v>
      </c>
      <c r="C304" s="1">
        <v>46126</v>
      </c>
      <c r="D304" s="5">
        <v>5.52</v>
      </c>
      <c r="E304" t="s">
        <v>558</v>
      </c>
      <c r="F304" t="s">
        <v>6</v>
      </c>
      <c r="G304" t="s">
        <v>128</v>
      </c>
      <c r="H304" t="s">
        <v>763</v>
      </c>
    </row>
    <row r="305" spans="1:8" ht="15" customHeight="1" x14ac:dyDescent="0.25">
      <c r="A305" t="s">
        <v>146</v>
      </c>
      <c r="B305" t="s">
        <v>147</v>
      </c>
      <c r="C305" s="1">
        <v>46126</v>
      </c>
      <c r="D305" s="5">
        <v>3.86</v>
      </c>
      <c r="E305" t="s">
        <v>558</v>
      </c>
      <c r="F305" t="s">
        <v>6</v>
      </c>
      <c r="G305" t="s">
        <v>148</v>
      </c>
      <c r="H305" t="s">
        <v>764</v>
      </c>
    </row>
    <row r="306" spans="1:8" ht="15" customHeight="1" x14ac:dyDescent="0.25">
      <c r="A306" t="s">
        <v>765</v>
      </c>
      <c r="B306" t="s">
        <v>766</v>
      </c>
      <c r="C306" s="1">
        <v>46126</v>
      </c>
      <c r="D306" s="5">
        <v>31.2</v>
      </c>
      <c r="E306" t="s">
        <v>558</v>
      </c>
      <c r="F306" t="s">
        <v>6</v>
      </c>
      <c r="G306" t="s">
        <v>135</v>
      </c>
      <c r="H306" t="s">
        <v>767</v>
      </c>
    </row>
    <row r="307" spans="1:8" ht="15" customHeight="1" x14ac:dyDescent="0.25">
      <c r="A307" t="s">
        <v>133</v>
      </c>
      <c r="B307" t="s">
        <v>134</v>
      </c>
      <c r="C307" s="1">
        <v>46126</v>
      </c>
      <c r="D307" s="5">
        <v>5.52</v>
      </c>
      <c r="E307" t="s">
        <v>558</v>
      </c>
      <c r="F307" t="s">
        <v>6</v>
      </c>
      <c r="G307" t="s">
        <v>128</v>
      </c>
      <c r="H307" t="s">
        <v>768</v>
      </c>
    </row>
    <row r="308" spans="1:8" ht="15" customHeight="1" x14ac:dyDescent="0.25">
      <c r="A308" t="s">
        <v>769</v>
      </c>
      <c r="B308" t="s">
        <v>770</v>
      </c>
      <c r="C308" s="1">
        <v>46126</v>
      </c>
      <c r="D308" s="5">
        <v>146.66999999999999</v>
      </c>
      <c r="E308" t="s">
        <v>558</v>
      </c>
      <c r="F308" t="s">
        <v>6</v>
      </c>
      <c r="G308" t="s">
        <v>128</v>
      </c>
      <c r="H308" t="s">
        <v>771</v>
      </c>
    </row>
    <row r="309" spans="1:8" ht="15" customHeight="1" x14ac:dyDescent="0.25">
      <c r="A309" t="s">
        <v>772</v>
      </c>
      <c r="B309" t="s">
        <v>773</v>
      </c>
      <c r="C309" s="1">
        <v>46126</v>
      </c>
      <c r="D309" s="5">
        <v>38.520000000000003</v>
      </c>
      <c r="E309" t="s">
        <v>558</v>
      </c>
      <c r="F309" t="s">
        <v>6</v>
      </c>
      <c r="G309" t="s">
        <v>260</v>
      </c>
      <c r="H309" t="s">
        <v>774</v>
      </c>
    </row>
    <row r="310" spans="1:8" ht="15" customHeight="1" x14ac:dyDescent="0.25">
      <c r="A310" t="s">
        <v>775</v>
      </c>
      <c r="B310" t="s">
        <v>776</v>
      </c>
      <c r="C310" s="1">
        <v>46126</v>
      </c>
      <c r="D310" s="5">
        <v>146.66999999999999</v>
      </c>
      <c r="E310" t="s">
        <v>558</v>
      </c>
      <c r="F310" t="s">
        <v>6</v>
      </c>
      <c r="G310" t="s">
        <v>128</v>
      </c>
      <c r="H310" t="s">
        <v>777</v>
      </c>
    </row>
    <row r="311" spans="1:8" ht="15" customHeight="1" x14ac:dyDescent="0.25">
      <c r="A311" t="s">
        <v>778</v>
      </c>
      <c r="B311" t="s">
        <v>779</v>
      </c>
      <c r="C311" s="1">
        <v>46126</v>
      </c>
      <c r="D311" s="5">
        <v>69.599999999999994</v>
      </c>
      <c r="E311" t="s">
        <v>558</v>
      </c>
      <c r="F311" t="s">
        <v>6</v>
      </c>
      <c r="G311" t="s">
        <v>124</v>
      </c>
      <c r="H311" t="s">
        <v>780</v>
      </c>
    </row>
    <row r="312" spans="1:8" ht="15" customHeight="1" x14ac:dyDescent="0.25">
      <c r="A312" t="s">
        <v>781</v>
      </c>
      <c r="B312" t="s">
        <v>782</v>
      </c>
      <c r="C312" s="1">
        <v>46126</v>
      </c>
      <c r="D312" s="5">
        <v>38.520000000000003</v>
      </c>
      <c r="E312" t="s">
        <v>558</v>
      </c>
      <c r="F312" t="s">
        <v>6</v>
      </c>
      <c r="G312" t="s">
        <v>128</v>
      </c>
      <c r="H312" t="s">
        <v>783</v>
      </c>
    </row>
    <row r="313" spans="1:8" ht="15" customHeight="1" x14ac:dyDescent="0.25">
      <c r="A313" t="s">
        <v>784</v>
      </c>
      <c r="B313" t="s">
        <v>785</v>
      </c>
      <c r="C313" s="1">
        <v>46126</v>
      </c>
      <c r="D313" s="5">
        <v>33.64</v>
      </c>
      <c r="E313" t="s">
        <v>558</v>
      </c>
      <c r="F313" t="s">
        <v>6</v>
      </c>
      <c r="G313" t="s">
        <v>121</v>
      </c>
      <c r="H313" t="s">
        <v>786</v>
      </c>
    </row>
    <row r="314" spans="1:8" ht="15" customHeight="1" x14ac:dyDescent="0.25">
      <c r="A314" t="s">
        <v>94</v>
      </c>
      <c r="B314" t="s">
        <v>95</v>
      </c>
      <c r="C314" s="1">
        <v>46126</v>
      </c>
      <c r="D314" s="5">
        <v>38.520000000000003</v>
      </c>
      <c r="E314" t="s">
        <v>558</v>
      </c>
      <c r="F314" t="s">
        <v>6</v>
      </c>
      <c r="G314" t="s">
        <v>128</v>
      </c>
      <c r="H314" t="s">
        <v>787</v>
      </c>
    </row>
    <row r="315" spans="1:8" ht="15" customHeight="1" x14ac:dyDescent="0.25">
      <c r="A315" t="s">
        <v>788</v>
      </c>
      <c r="B315" t="s">
        <v>789</v>
      </c>
      <c r="C315" s="1">
        <v>46126</v>
      </c>
      <c r="D315" s="5">
        <v>141.79</v>
      </c>
      <c r="E315" t="s">
        <v>558</v>
      </c>
      <c r="F315" t="s">
        <v>6</v>
      </c>
      <c r="G315" t="s">
        <v>790</v>
      </c>
      <c r="H315" t="s">
        <v>791</v>
      </c>
    </row>
    <row r="316" spans="1:8" ht="15" customHeight="1" x14ac:dyDescent="0.25">
      <c r="A316" t="s">
        <v>792</v>
      </c>
      <c r="B316" t="s">
        <v>793</v>
      </c>
      <c r="C316" s="1">
        <v>46126</v>
      </c>
      <c r="D316" s="5">
        <v>5.52</v>
      </c>
      <c r="E316" t="s">
        <v>558</v>
      </c>
      <c r="F316" t="s">
        <v>6</v>
      </c>
      <c r="G316" t="s">
        <v>794</v>
      </c>
      <c r="H316" t="s">
        <v>795</v>
      </c>
    </row>
    <row r="317" spans="1:8" ht="15" customHeight="1" x14ac:dyDescent="0.25">
      <c r="A317" t="s">
        <v>415</v>
      </c>
      <c r="B317" t="s">
        <v>416</v>
      </c>
      <c r="C317" s="1">
        <v>46126</v>
      </c>
      <c r="D317" s="5">
        <v>5.52</v>
      </c>
      <c r="E317" t="s">
        <v>558</v>
      </c>
      <c r="F317" t="s">
        <v>6</v>
      </c>
      <c r="G317" t="s">
        <v>794</v>
      </c>
      <c r="H317" t="s">
        <v>796</v>
      </c>
    </row>
    <row r="318" spans="1:8" ht="15" customHeight="1" x14ac:dyDescent="0.25">
      <c r="A318" t="s">
        <v>797</v>
      </c>
      <c r="B318" t="s">
        <v>798</v>
      </c>
      <c r="C318" s="1">
        <v>46126</v>
      </c>
      <c r="D318" s="5">
        <v>25.68</v>
      </c>
      <c r="E318" t="s">
        <v>558</v>
      </c>
      <c r="F318" t="s">
        <v>6</v>
      </c>
      <c r="G318" t="s">
        <v>264</v>
      </c>
      <c r="H318" t="s">
        <v>799</v>
      </c>
    </row>
    <row r="319" spans="1:8" ht="15" customHeight="1" x14ac:dyDescent="0.25">
      <c r="A319" t="s">
        <v>224</v>
      </c>
      <c r="B319" t="s">
        <v>225</v>
      </c>
      <c r="C319" s="1">
        <v>46126</v>
      </c>
      <c r="D319" s="5">
        <v>26</v>
      </c>
      <c r="E319" t="s">
        <v>558</v>
      </c>
      <c r="F319" t="s">
        <v>6</v>
      </c>
      <c r="G319" t="s">
        <v>128</v>
      </c>
      <c r="H319" t="s">
        <v>800</v>
      </c>
    </row>
    <row r="320" spans="1:8" ht="15" customHeight="1" x14ac:dyDescent="0.25">
      <c r="A320" t="s">
        <v>801</v>
      </c>
      <c r="B320" t="s">
        <v>802</v>
      </c>
      <c r="C320" s="1">
        <v>46126</v>
      </c>
      <c r="D320" s="5">
        <v>23.24</v>
      </c>
      <c r="E320" t="s">
        <v>558</v>
      </c>
      <c r="F320" t="s">
        <v>6</v>
      </c>
      <c r="G320" t="s">
        <v>121</v>
      </c>
      <c r="H320" t="s">
        <v>803</v>
      </c>
    </row>
    <row r="321" spans="1:8" ht="15" customHeight="1" x14ac:dyDescent="0.25">
      <c r="A321" t="s">
        <v>804</v>
      </c>
      <c r="B321" t="s">
        <v>805</v>
      </c>
      <c r="C321" s="1">
        <v>46126</v>
      </c>
      <c r="D321" s="5">
        <v>38.520000000000003</v>
      </c>
      <c r="E321" t="s">
        <v>558</v>
      </c>
      <c r="F321" t="s">
        <v>6</v>
      </c>
      <c r="G321" t="s">
        <v>260</v>
      </c>
      <c r="H321" t="s">
        <v>806</v>
      </c>
    </row>
    <row r="322" spans="1:8" ht="15" customHeight="1" x14ac:dyDescent="0.25">
      <c r="A322" t="s">
        <v>807</v>
      </c>
      <c r="B322" t="s">
        <v>808</v>
      </c>
      <c r="C322" s="1">
        <v>46126</v>
      </c>
      <c r="D322" s="5">
        <v>38.520000000000003</v>
      </c>
      <c r="E322" t="s">
        <v>558</v>
      </c>
      <c r="F322" t="s">
        <v>6</v>
      </c>
      <c r="G322" t="s">
        <v>260</v>
      </c>
      <c r="H322" t="s">
        <v>809</v>
      </c>
    </row>
    <row r="323" spans="1:8" ht="15" customHeight="1" x14ac:dyDescent="0.25">
      <c r="A323" t="s">
        <v>810</v>
      </c>
      <c r="B323" t="s">
        <v>811</v>
      </c>
      <c r="C323" s="1">
        <v>46126</v>
      </c>
      <c r="D323" s="5">
        <v>122.83</v>
      </c>
      <c r="E323" t="s">
        <v>558</v>
      </c>
      <c r="F323" t="s">
        <v>6</v>
      </c>
      <c r="G323" t="s">
        <v>260</v>
      </c>
      <c r="H323" t="s">
        <v>812</v>
      </c>
    </row>
    <row r="324" spans="1:8" ht="15" customHeight="1" x14ac:dyDescent="0.25">
      <c r="A324" t="s">
        <v>641</v>
      </c>
      <c r="B324" t="s">
        <v>642</v>
      </c>
      <c r="C324" s="1">
        <v>46127</v>
      </c>
      <c r="D324" s="5">
        <v>3.68</v>
      </c>
      <c r="E324" t="s">
        <v>558</v>
      </c>
      <c r="F324" t="s">
        <v>6</v>
      </c>
      <c r="G324" t="s">
        <v>309</v>
      </c>
      <c r="H324" t="s">
        <v>813</v>
      </c>
    </row>
    <row r="325" spans="1:8" ht="15" customHeight="1" x14ac:dyDescent="0.25">
      <c r="A325" t="s">
        <v>758</v>
      </c>
      <c r="B325" t="s">
        <v>759</v>
      </c>
      <c r="C325" s="1">
        <v>46127</v>
      </c>
      <c r="D325" s="5">
        <v>3.68</v>
      </c>
      <c r="E325" t="s">
        <v>558</v>
      </c>
      <c r="F325" t="s">
        <v>6</v>
      </c>
      <c r="G325" t="s">
        <v>309</v>
      </c>
      <c r="H325" t="s">
        <v>814</v>
      </c>
    </row>
    <row r="326" spans="1:8" ht="15" customHeight="1" x14ac:dyDescent="0.25">
      <c r="A326" t="s">
        <v>85</v>
      </c>
      <c r="B326" t="s">
        <v>86</v>
      </c>
      <c r="C326" s="1">
        <v>46127</v>
      </c>
      <c r="D326" s="5">
        <v>3</v>
      </c>
      <c r="E326" t="s">
        <v>558</v>
      </c>
      <c r="F326" t="s">
        <v>6</v>
      </c>
      <c r="G326" t="s">
        <v>124</v>
      </c>
      <c r="H326" t="s">
        <v>815</v>
      </c>
    </row>
    <row r="327" spans="1:8" ht="15" customHeight="1" x14ac:dyDescent="0.25">
      <c r="A327" t="s">
        <v>748</v>
      </c>
      <c r="B327" t="s">
        <v>749</v>
      </c>
      <c r="C327" s="1">
        <v>46127</v>
      </c>
      <c r="D327" s="5">
        <v>5.52</v>
      </c>
      <c r="E327" t="s">
        <v>558</v>
      </c>
      <c r="F327" t="s">
        <v>6</v>
      </c>
      <c r="G327" t="s">
        <v>235</v>
      </c>
      <c r="H327" t="s">
        <v>816</v>
      </c>
    </row>
    <row r="328" spans="1:8" ht="15" customHeight="1" x14ac:dyDescent="0.25">
      <c r="A328" t="s">
        <v>338</v>
      </c>
      <c r="B328" t="s">
        <v>339</v>
      </c>
      <c r="C328" s="1">
        <v>46127</v>
      </c>
      <c r="D328" s="5">
        <v>26</v>
      </c>
      <c r="E328" t="s">
        <v>558</v>
      </c>
      <c r="F328" t="s">
        <v>6</v>
      </c>
      <c r="G328" t="s">
        <v>128</v>
      </c>
      <c r="H328" t="s">
        <v>817</v>
      </c>
    </row>
    <row r="329" spans="1:8" ht="15" customHeight="1" x14ac:dyDescent="0.25">
      <c r="A329" t="s">
        <v>744</v>
      </c>
      <c r="B329" t="s">
        <v>745</v>
      </c>
      <c r="C329" s="1">
        <v>46127</v>
      </c>
      <c r="D329" s="5">
        <v>5.52</v>
      </c>
      <c r="E329" t="s">
        <v>558</v>
      </c>
      <c r="F329" t="s">
        <v>6</v>
      </c>
      <c r="G329" t="s">
        <v>235</v>
      </c>
      <c r="H329" t="s">
        <v>818</v>
      </c>
    </row>
    <row r="330" spans="1:8" ht="15" customHeight="1" x14ac:dyDescent="0.25">
      <c r="A330" t="s">
        <v>493</v>
      </c>
      <c r="B330" t="s">
        <v>494</v>
      </c>
      <c r="C330" s="1">
        <v>46127</v>
      </c>
      <c r="D330" s="5">
        <v>26</v>
      </c>
      <c r="E330" t="s">
        <v>558</v>
      </c>
      <c r="F330" t="s">
        <v>6</v>
      </c>
      <c r="G330" t="s">
        <v>128</v>
      </c>
      <c r="H330" t="s">
        <v>819</v>
      </c>
    </row>
    <row r="331" spans="1:8" ht="15" customHeight="1" x14ac:dyDescent="0.25">
      <c r="A331" t="s">
        <v>820</v>
      </c>
      <c r="B331" t="s">
        <v>821</v>
      </c>
      <c r="C331" s="1">
        <v>46128</v>
      </c>
      <c r="D331" s="5">
        <v>146.66999999999999</v>
      </c>
      <c r="E331" t="s">
        <v>558</v>
      </c>
      <c r="F331" t="s">
        <v>6</v>
      </c>
      <c r="G331" t="s">
        <v>822</v>
      </c>
      <c r="H331" t="s">
        <v>823</v>
      </c>
    </row>
    <row r="332" spans="1:8" ht="15" customHeight="1" x14ac:dyDescent="0.25">
      <c r="A332" t="s">
        <v>94</v>
      </c>
      <c r="B332" t="s">
        <v>95</v>
      </c>
      <c r="C332" s="1">
        <v>46127</v>
      </c>
      <c r="D332" s="5">
        <v>21.29</v>
      </c>
      <c r="E332" t="s">
        <v>558</v>
      </c>
      <c r="F332" t="s">
        <v>6</v>
      </c>
      <c r="G332" t="s">
        <v>128</v>
      </c>
      <c r="H332" t="s">
        <v>824</v>
      </c>
    </row>
    <row r="333" spans="1:8" ht="15" customHeight="1" x14ac:dyDescent="0.25">
      <c r="A333" t="s">
        <v>825</v>
      </c>
      <c r="B333" t="s">
        <v>826</v>
      </c>
      <c r="C333" s="1">
        <v>46127</v>
      </c>
      <c r="D333" s="5">
        <v>26</v>
      </c>
      <c r="E333" t="s">
        <v>558</v>
      </c>
      <c r="F333" t="s">
        <v>6</v>
      </c>
      <c r="G333" t="s">
        <v>128</v>
      </c>
      <c r="H333" t="s">
        <v>827</v>
      </c>
    </row>
    <row r="334" spans="1:8" ht="15" customHeight="1" x14ac:dyDescent="0.25">
      <c r="A334" t="s">
        <v>828</v>
      </c>
      <c r="B334" t="s">
        <v>829</v>
      </c>
      <c r="C334" s="1">
        <v>46127</v>
      </c>
      <c r="D334" s="5">
        <v>33.64</v>
      </c>
      <c r="E334" t="s">
        <v>558</v>
      </c>
      <c r="F334" t="s">
        <v>6</v>
      </c>
      <c r="G334" t="s">
        <v>121</v>
      </c>
      <c r="H334" t="s">
        <v>830</v>
      </c>
    </row>
    <row r="335" spans="1:8" ht="15" customHeight="1" x14ac:dyDescent="0.25">
      <c r="A335" t="s">
        <v>471</v>
      </c>
      <c r="B335" t="s">
        <v>472</v>
      </c>
      <c r="C335" s="1">
        <v>46127</v>
      </c>
      <c r="D335" s="5">
        <v>3</v>
      </c>
      <c r="E335" t="s">
        <v>558</v>
      </c>
      <c r="F335" t="s">
        <v>6</v>
      </c>
      <c r="G335" t="s">
        <v>124</v>
      </c>
      <c r="H335" t="s">
        <v>831</v>
      </c>
    </row>
    <row r="336" spans="1:8" ht="15" customHeight="1" x14ac:dyDescent="0.25">
      <c r="A336" t="s">
        <v>672</v>
      </c>
      <c r="B336" t="s">
        <v>673</v>
      </c>
      <c r="C336" s="1">
        <v>46127</v>
      </c>
      <c r="D336" s="5">
        <v>5.52</v>
      </c>
      <c r="E336" t="s">
        <v>558</v>
      </c>
      <c r="F336" t="s">
        <v>6</v>
      </c>
      <c r="G336" t="s">
        <v>128</v>
      </c>
      <c r="H336" t="s">
        <v>832</v>
      </c>
    </row>
    <row r="337" spans="1:8" ht="15" customHeight="1" x14ac:dyDescent="0.25">
      <c r="A337" t="s">
        <v>833</v>
      </c>
      <c r="B337" t="s">
        <v>834</v>
      </c>
      <c r="C337" s="1">
        <v>46127</v>
      </c>
      <c r="D337" s="5">
        <v>38.520000000000003</v>
      </c>
      <c r="E337" t="s">
        <v>558</v>
      </c>
      <c r="F337" t="s">
        <v>6</v>
      </c>
      <c r="G337" t="s">
        <v>260</v>
      </c>
      <c r="H337" t="s">
        <v>835</v>
      </c>
    </row>
    <row r="338" spans="1:8" ht="15" customHeight="1" x14ac:dyDescent="0.25">
      <c r="A338" t="s">
        <v>29</v>
      </c>
      <c r="B338" t="s">
        <v>32</v>
      </c>
      <c r="C338" s="1">
        <v>46127</v>
      </c>
      <c r="D338" s="5">
        <v>5.52</v>
      </c>
      <c r="E338" t="s">
        <v>558</v>
      </c>
      <c r="F338" t="s">
        <v>6</v>
      </c>
      <c r="G338" t="s">
        <v>231</v>
      </c>
      <c r="H338" t="s">
        <v>836</v>
      </c>
    </row>
    <row r="339" spans="1:8" ht="15" customHeight="1" x14ac:dyDescent="0.25">
      <c r="A339" t="s">
        <v>171</v>
      </c>
      <c r="B339" t="s">
        <v>172</v>
      </c>
      <c r="C339" s="1">
        <v>46127</v>
      </c>
      <c r="D339" s="5">
        <v>3.86</v>
      </c>
      <c r="E339" t="s">
        <v>558</v>
      </c>
      <c r="F339" t="s">
        <v>6</v>
      </c>
      <c r="G339" t="s">
        <v>148</v>
      </c>
      <c r="H339" t="s">
        <v>837</v>
      </c>
    </row>
    <row r="340" spans="1:8" ht="15" customHeight="1" x14ac:dyDescent="0.25">
      <c r="A340" t="s">
        <v>490</v>
      </c>
      <c r="B340" t="s">
        <v>491</v>
      </c>
      <c r="C340" s="1">
        <v>46127</v>
      </c>
      <c r="D340" s="5">
        <v>16.52</v>
      </c>
      <c r="E340" t="s">
        <v>558</v>
      </c>
      <c r="F340" t="s">
        <v>6</v>
      </c>
      <c r="G340" t="s">
        <v>128</v>
      </c>
      <c r="H340" t="s">
        <v>838</v>
      </c>
    </row>
    <row r="341" spans="1:8" ht="15" customHeight="1" x14ac:dyDescent="0.25">
      <c r="A341" t="s">
        <v>104</v>
      </c>
      <c r="B341" t="s">
        <v>105</v>
      </c>
      <c r="C341" s="1">
        <v>46127</v>
      </c>
      <c r="D341" s="5">
        <v>3.86</v>
      </c>
      <c r="E341" t="s">
        <v>558</v>
      </c>
      <c r="F341" t="s">
        <v>6</v>
      </c>
      <c r="G341" t="s">
        <v>124</v>
      </c>
      <c r="H341" t="s">
        <v>839</v>
      </c>
    </row>
    <row r="342" spans="1:8" ht="15" customHeight="1" x14ac:dyDescent="0.25">
      <c r="A342" t="s">
        <v>840</v>
      </c>
      <c r="B342" t="s">
        <v>841</v>
      </c>
      <c r="C342" s="1">
        <v>46127</v>
      </c>
      <c r="D342" s="5">
        <v>141.79</v>
      </c>
      <c r="E342" t="s">
        <v>558</v>
      </c>
      <c r="F342" t="s">
        <v>6</v>
      </c>
      <c r="G342" t="s">
        <v>235</v>
      </c>
      <c r="H342" t="s">
        <v>842</v>
      </c>
    </row>
    <row r="343" spans="1:8" ht="15" customHeight="1" x14ac:dyDescent="0.25">
      <c r="A343" t="s">
        <v>843</v>
      </c>
      <c r="B343" t="s">
        <v>844</v>
      </c>
      <c r="C343" s="1">
        <v>46127</v>
      </c>
      <c r="D343" s="5">
        <v>38.520000000000003</v>
      </c>
      <c r="E343" t="s">
        <v>558</v>
      </c>
      <c r="F343" t="s">
        <v>6</v>
      </c>
      <c r="G343" t="s">
        <v>128</v>
      </c>
      <c r="H343" t="s">
        <v>845</v>
      </c>
    </row>
    <row r="344" spans="1:8" ht="15" customHeight="1" x14ac:dyDescent="0.25">
      <c r="A344" t="s">
        <v>846</v>
      </c>
      <c r="B344" t="s">
        <v>847</v>
      </c>
      <c r="C344" s="1">
        <v>46127</v>
      </c>
      <c r="D344" s="5">
        <v>163.91</v>
      </c>
      <c r="E344" t="s">
        <v>558</v>
      </c>
      <c r="F344" t="s">
        <v>6</v>
      </c>
      <c r="G344" t="s">
        <v>128</v>
      </c>
      <c r="H344" t="s">
        <v>848</v>
      </c>
    </row>
    <row r="345" spans="1:8" ht="15" customHeight="1" x14ac:dyDescent="0.25">
      <c r="A345" t="s">
        <v>849</v>
      </c>
      <c r="B345" t="s">
        <v>850</v>
      </c>
      <c r="C345" s="1">
        <v>46127</v>
      </c>
      <c r="D345" s="5">
        <v>141.79</v>
      </c>
      <c r="E345" t="s">
        <v>558</v>
      </c>
      <c r="F345" t="s">
        <v>6</v>
      </c>
      <c r="G345" t="s">
        <v>235</v>
      </c>
      <c r="H345" t="s">
        <v>851</v>
      </c>
    </row>
    <row r="346" spans="1:8" ht="15" customHeight="1" x14ac:dyDescent="0.25">
      <c r="A346" t="s">
        <v>852</v>
      </c>
      <c r="B346" t="s">
        <v>853</v>
      </c>
      <c r="C346" s="1">
        <v>46127</v>
      </c>
      <c r="D346" s="5">
        <v>47.31</v>
      </c>
      <c r="E346" t="s">
        <v>558</v>
      </c>
      <c r="F346" t="s">
        <v>6</v>
      </c>
      <c r="G346" t="s">
        <v>135</v>
      </c>
      <c r="H346" t="s">
        <v>854</v>
      </c>
    </row>
    <row r="347" spans="1:8" ht="15" customHeight="1" x14ac:dyDescent="0.25">
      <c r="A347" t="s">
        <v>855</v>
      </c>
      <c r="B347" t="s">
        <v>856</v>
      </c>
      <c r="C347" s="1">
        <v>46127</v>
      </c>
      <c r="D347" s="5">
        <v>152.53</v>
      </c>
      <c r="E347" t="s">
        <v>558</v>
      </c>
      <c r="F347" t="s">
        <v>6</v>
      </c>
      <c r="G347" t="s">
        <v>235</v>
      </c>
      <c r="H347" t="s">
        <v>857</v>
      </c>
    </row>
    <row r="348" spans="1:8" ht="15" customHeight="1" x14ac:dyDescent="0.25">
      <c r="A348" t="s">
        <v>858</v>
      </c>
      <c r="B348" t="s">
        <v>859</v>
      </c>
      <c r="C348" s="1">
        <v>46127</v>
      </c>
      <c r="D348" s="5">
        <v>25.68</v>
      </c>
      <c r="E348" t="s">
        <v>558</v>
      </c>
      <c r="F348" t="s">
        <v>6</v>
      </c>
      <c r="G348" t="s">
        <v>264</v>
      </c>
      <c r="H348" t="s">
        <v>860</v>
      </c>
    </row>
    <row r="349" spans="1:8" ht="15" customHeight="1" x14ac:dyDescent="0.25">
      <c r="A349" t="s">
        <v>403</v>
      </c>
      <c r="B349" t="s">
        <v>861</v>
      </c>
      <c r="C349" s="1">
        <v>46127</v>
      </c>
      <c r="D349" s="5">
        <v>69.599999999999994</v>
      </c>
      <c r="E349" t="s">
        <v>558</v>
      </c>
      <c r="F349" t="s">
        <v>6</v>
      </c>
      <c r="G349" t="s">
        <v>117</v>
      </c>
      <c r="H349" t="s">
        <v>862</v>
      </c>
    </row>
    <row r="350" spans="1:8" ht="15" customHeight="1" x14ac:dyDescent="0.25">
      <c r="A350" t="s">
        <v>863</v>
      </c>
      <c r="B350" t="s">
        <v>864</v>
      </c>
      <c r="C350" s="1">
        <v>46127</v>
      </c>
      <c r="D350" s="5">
        <v>31.2</v>
      </c>
      <c r="E350" t="s">
        <v>558</v>
      </c>
      <c r="F350" t="s">
        <v>6</v>
      </c>
      <c r="G350" t="s">
        <v>135</v>
      </c>
      <c r="H350" t="s">
        <v>865</v>
      </c>
    </row>
    <row r="351" spans="1:8" ht="15" customHeight="1" x14ac:dyDescent="0.25">
      <c r="A351" t="s">
        <v>866</v>
      </c>
      <c r="B351" t="s">
        <v>867</v>
      </c>
      <c r="C351" s="1">
        <v>46127</v>
      </c>
      <c r="D351" s="5">
        <v>3.86</v>
      </c>
      <c r="E351" t="s">
        <v>558</v>
      </c>
      <c r="F351" t="s">
        <v>6</v>
      </c>
      <c r="G351" t="s">
        <v>183</v>
      </c>
      <c r="H351" t="s">
        <v>868</v>
      </c>
    </row>
    <row r="352" spans="1:8" ht="15" customHeight="1" x14ac:dyDescent="0.25">
      <c r="A352" t="s">
        <v>444</v>
      </c>
      <c r="B352" t="s">
        <v>445</v>
      </c>
      <c r="C352" s="1">
        <v>46128</v>
      </c>
      <c r="D352" s="5">
        <v>3.68</v>
      </c>
      <c r="E352" t="s">
        <v>558</v>
      </c>
      <c r="F352" t="s">
        <v>6</v>
      </c>
      <c r="G352" t="s">
        <v>264</v>
      </c>
      <c r="H352" t="s">
        <v>869</v>
      </c>
    </row>
    <row r="353" spans="1:8" ht="15" customHeight="1" x14ac:dyDescent="0.25">
      <c r="A353" t="s">
        <v>870</v>
      </c>
      <c r="B353" t="s">
        <v>871</v>
      </c>
      <c r="C353" s="1">
        <v>46128</v>
      </c>
      <c r="D353" s="5">
        <v>3.68</v>
      </c>
      <c r="E353" t="s">
        <v>558</v>
      </c>
      <c r="F353" t="s">
        <v>6</v>
      </c>
      <c r="G353" t="s">
        <v>264</v>
      </c>
      <c r="H353" t="s">
        <v>872</v>
      </c>
    </row>
    <row r="354" spans="1:8" ht="15" customHeight="1" x14ac:dyDescent="0.25">
      <c r="A354" t="s">
        <v>873</v>
      </c>
      <c r="B354" t="s">
        <v>874</v>
      </c>
      <c r="C354" s="1">
        <v>46128</v>
      </c>
      <c r="D354" s="5">
        <v>3.68</v>
      </c>
      <c r="E354" t="s">
        <v>558</v>
      </c>
      <c r="F354" t="s">
        <v>6</v>
      </c>
      <c r="G354" t="s">
        <v>264</v>
      </c>
      <c r="H354" t="s">
        <v>875</v>
      </c>
    </row>
    <row r="355" spans="1:8" ht="15" customHeight="1" x14ac:dyDescent="0.25">
      <c r="A355" t="s">
        <v>566</v>
      </c>
      <c r="B355" t="s">
        <v>567</v>
      </c>
      <c r="C355" s="1">
        <v>46128</v>
      </c>
      <c r="D355" s="5">
        <v>5.52</v>
      </c>
      <c r="E355" t="s">
        <v>558</v>
      </c>
      <c r="F355" t="s">
        <v>6</v>
      </c>
      <c r="G355" t="s">
        <v>121</v>
      </c>
      <c r="H355" t="s">
        <v>876</v>
      </c>
    </row>
    <row r="356" spans="1:8" ht="15" customHeight="1" x14ac:dyDescent="0.25">
      <c r="A356" t="s">
        <v>877</v>
      </c>
      <c r="B356" t="s">
        <v>878</v>
      </c>
      <c r="C356" s="1">
        <v>46128</v>
      </c>
      <c r="D356" s="5">
        <v>146.66999999999999</v>
      </c>
      <c r="E356" t="s">
        <v>558</v>
      </c>
      <c r="F356" t="s">
        <v>6</v>
      </c>
      <c r="G356" t="s">
        <v>128</v>
      </c>
      <c r="H356" t="s">
        <v>879</v>
      </c>
    </row>
    <row r="357" spans="1:8" ht="15" customHeight="1" x14ac:dyDescent="0.25">
      <c r="A357" t="s">
        <v>301</v>
      </c>
      <c r="B357" t="s">
        <v>302</v>
      </c>
      <c r="C357" s="1">
        <v>46128</v>
      </c>
      <c r="D357" s="5">
        <v>5.52</v>
      </c>
      <c r="E357" t="s">
        <v>558</v>
      </c>
      <c r="F357" t="s">
        <v>6</v>
      </c>
      <c r="G357" t="s">
        <v>128</v>
      </c>
      <c r="H357" t="s">
        <v>880</v>
      </c>
    </row>
    <row r="358" spans="1:8" ht="15" customHeight="1" x14ac:dyDescent="0.25">
      <c r="A358" t="s">
        <v>881</v>
      </c>
      <c r="B358" t="s">
        <v>882</v>
      </c>
      <c r="C358" s="1">
        <v>46128</v>
      </c>
      <c r="D358" s="5">
        <v>5.52</v>
      </c>
      <c r="E358" t="s">
        <v>558</v>
      </c>
      <c r="F358" t="s">
        <v>6</v>
      </c>
      <c r="G358" t="s">
        <v>128</v>
      </c>
      <c r="H358" t="s">
        <v>883</v>
      </c>
    </row>
    <row r="359" spans="1:8" ht="15" customHeight="1" x14ac:dyDescent="0.25">
      <c r="A359" t="s">
        <v>884</v>
      </c>
      <c r="B359" t="s">
        <v>885</v>
      </c>
      <c r="C359" s="1">
        <v>46128</v>
      </c>
      <c r="D359" s="5">
        <v>5.52</v>
      </c>
      <c r="E359" t="s">
        <v>558</v>
      </c>
      <c r="F359" t="s">
        <v>6</v>
      </c>
      <c r="G359" t="s">
        <v>128</v>
      </c>
      <c r="H359" t="s">
        <v>886</v>
      </c>
    </row>
    <row r="360" spans="1:8" ht="15" customHeight="1" x14ac:dyDescent="0.25">
      <c r="A360" t="s">
        <v>887</v>
      </c>
      <c r="B360" t="s">
        <v>888</v>
      </c>
      <c r="C360" s="1">
        <v>46128</v>
      </c>
      <c r="D360" s="5">
        <v>38.520000000000003</v>
      </c>
      <c r="E360" t="s">
        <v>558</v>
      </c>
      <c r="F360" t="s">
        <v>6</v>
      </c>
      <c r="G360" t="s">
        <v>128</v>
      </c>
      <c r="H360" t="s">
        <v>889</v>
      </c>
    </row>
    <row r="361" spans="1:8" ht="15" customHeight="1" x14ac:dyDescent="0.25">
      <c r="A361" t="s">
        <v>781</v>
      </c>
      <c r="B361" t="s">
        <v>782</v>
      </c>
      <c r="C361" s="1">
        <v>46128</v>
      </c>
      <c r="D361" s="5">
        <v>5.52</v>
      </c>
      <c r="E361" t="s">
        <v>558</v>
      </c>
      <c r="F361" t="s">
        <v>6</v>
      </c>
      <c r="G361" t="s">
        <v>128</v>
      </c>
      <c r="H361" t="s">
        <v>890</v>
      </c>
    </row>
    <row r="362" spans="1:8" ht="15" customHeight="1" x14ac:dyDescent="0.25">
      <c r="A362" t="s">
        <v>891</v>
      </c>
      <c r="B362" t="s">
        <v>892</v>
      </c>
      <c r="C362" s="1">
        <v>46128</v>
      </c>
      <c r="D362" s="5">
        <v>38.520000000000003</v>
      </c>
      <c r="E362" t="s">
        <v>558</v>
      </c>
      <c r="F362" t="s">
        <v>6</v>
      </c>
      <c r="G362" t="s">
        <v>128</v>
      </c>
      <c r="H362" t="s">
        <v>893</v>
      </c>
    </row>
    <row r="363" spans="1:8" ht="15" customHeight="1" x14ac:dyDescent="0.25">
      <c r="A363" t="s">
        <v>894</v>
      </c>
      <c r="B363" t="s">
        <v>895</v>
      </c>
      <c r="C363" s="1">
        <v>46128</v>
      </c>
      <c r="D363" s="5">
        <v>5.52</v>
      </c>
      <c r="E363" t="s">
        <v>558</v>
      </c>
      <c r="F363" t="s">
        <v>6</v>
      </c>
      <c r="G363" t="s">
        <v>128</v>
      </c>
      <c r="H363" t="s">
        <v>896</v>
      </c>
    </row>
    <row r="364" spans="1:8" ht="15" customHeight="1" x14ac:dyDescent="0.25">
      <c r="A364" t="s">
        <v>897</v>
      </c>
      <c r="B364" t="s">
        <v>898</v>
      </c>
      <c r="C364" s="1">
        <v>46128</v>
      </c>
      <c r="D364" s="5">
        <v>5.52</v>
      </c>
      <c r="E364" t="s">
        <v>558</v>
      </c>
      <c r="F364" t="s">
        <v>6</v>
      </c>
      <c r="G364" t="s">
        <v>292</v>
      </c>
      <c r="H364" t="s">
        <v>899</v>
      </c>
    </row>
    <row r="365" spans="1:8" ht="15" customHeight="1" x14ac:dyDescent="0.25">
      <c r="A365" t="s">
        <v>900</v>
      </c>
      <c r="B365" t="s">
        <v>901</v>
      </c>
      <c r="C365" s="1">
        <v>46128</v>
      </c>
      <c r="D365" s="5">
        <v>5.52</v>
      </c>
      <c r="E365" t="s">
        <v>558</v>
      </c>
      <c r="F365" t="s">
        <v>6</v>
      </c>
      <c r="G365" t="s">
        <v>794</v>
      </c>
      <c r="H365" t="s">
        <v>902</v>
      </c>
    </row>
    <row r="366" spans="1:8" ht="15" customHeight="1" x14ac:dyDescent="0.25">
      <c r="A366" t="s">
        <v>792</v>
      </c>
      <c r="B366" t="s">
        <v>793</v>
      </c>
      <c r="C366" s="1">
        <v>46128</v>
      </c>
      <c r="D366" s="5">
        <v>5.52</v>
      </c>
      <c r="E366" t="s">
        <v>558</v>
      </c>
      <c r="F366" t="s">
        <v>6</v>
      </c>
      <c r="G366" t="s">
        <v>794</v>
      </c>
      <c r="H366" t="s">
        <v>903</v>
      </c>
    </row>
    <row r="367" spans="1:8" ht="15" customHeight="1" x14ac:dyDescent="0.25">
      <c r="A367" t="s">
        <v>415</v>
      </c>
      <c r="B367" t="s">
        <v>416</v>
      </c>
      <c r="C367" s="1">
        <v>46128</v>
      </c>
      <c r="D367" s="5">
        <v>5.52</v>
      </c>
      <c r="E367" t="s">
        <v>558</v>
      </c>
      <c r="F367" t="s">
        <v>6</v>
      </c>
      <c r="G367" t="s">
        <v>794</v>
      </c>
      <c r="H367" t="s">
        <v>904</v>
      </c>
    </row>
    <row r="368" spans="1:8" ht="15" customHeight="1" x14ac:dyDescent="0.25">
      <c r="A368" t="s">
        <v>905</v>
      </c>
      <c r="B368" t="s">
        <v>906</v>
      </c>
      <c r="C368" s="1">
        <v>46128</v>
      </c>
      <c r="D368" s="5">
        <v>150.6</v>
      </c>
      <c r="E368" t="s">
        <v>558</v>
      </c>
      <c r="F368" t="s">
        <v>6</v>
      </c>
      <c r="G368" t="s">
        <v>135</v>
      </c>
      <c r="H368" t="s">
        <v>907</v>
      </c>
    </row>
    <row r="369" spans="1:8" ht="15" customHeight="1" x14ac:dyDescent="0.25">
      <c r="A369" t="s">
        <v>908</v>
      </c>
      <c r="B369" t="s">
        <v>909</v>
      </c>
      <c r="C369" s="1">
        <v>46128</v>
      </c>
      <c r="D369" s="5">
        <v>20.8</v>
      </c>
      <c r="E369" t="s">
        <v>558</v>
      </c>
      <c r="F369" t="s">
        <v>6</v>
      </c>
      <c r="G369" t="s">
        <v>292</v>
      </c>
      <c r="H369" t="s">
        <v>910</v>
      </c>
    </row>
    <row r="370" spans="1:8" ht="15" customHeight="1" x14ac:dyDescent="0.25">
      <c r="A370" t="s">
        <v>911</v>
      </c>
      <c r="B370" t="s">
        <v>912</v>
      </c>
      <c r="C370" s="1">
        <v>46128</v>
      </c>
      <c r="D370" s="5">
        <v>31.54</v>
      </c>
      <c r="E370" t="s">
        <v>558</v>
      </c>
      <c r="F370" t="s">
        <v>6</v>
      </c>
      <c r="G370" t="s">
        <v>292</v>
      </c>
      <c r="H370" t="s">
        <v>913</v>
      </c>
    </row>
    <row r="371" spans="1:8" ht="15" customHeight="1" x14ac:dyDescent="0.25">
      <c r="A371" t="s">
        <v>914</v>
      </c>
      <c r="B371" t="s">
        <v>915</v>
      </c>
      <c r="C371" s="1">
        <v>46128</v>
      </c>
      <c r="D371" s="5">
        <v>38.520000000000003</v>
      </c>
      <c r="E371" t="s">
        <v>558</v>
      </c>
      <c r="F371" t="s">
        <v>6</v>
      </c>
      <c r="G371" t="s">
        <v>128</v>
      </c>
      <c r="H371" t="s">
        <v>916</v>
      </c>
    </row>
    <row r="372" spans="1:8" ht="15" customHeight="1" x14ac:dyDescent="0.25">
      <c r="A372" t="s">
        <v>287</v>
      </c>
      <c r="B372" t="s">
        <v>288</v>
      </c>
      <c r="C372" s="1">
        <v>46128</v>
      </c>
      <c r="D372" s="5">
        <v>3</v>
      </c>
      <c r="E372" t="s">
        <v>558</v>
      </c>
      <c r="F372" t="s">
        <v>6</v>
      </c>
      <c r="G372" t="s">
        <v>124</v>
      </c>
      <c r="H372" t="s">
        <v>917</v>
      </c>
    </row>
    <row r="373" spans="1:8" ht="15" customHeight="1" x14ac:dyDescent="0.25">
      <c r="A373" t="s">
        <v>918</v>
      </c>
      <c r="B373" s="1" t="s">
        <v>919</v>
      </c>
      <c r="C373" s="1">
        <v>46128</v>
      </c>
      <c r="D373" s="5">
        <v>136.76</v>
      </c>
      <c r="E373" t="s">
        <v>558</v>
      </c>
      <c r="F373" t="s">
        <v>6</v>
      </c>
      <c r="G373" t="s">
        <v>292</v>
      </c>
      <c r="H373" t="s">
        <v>920</v>
      </c>
    </row>
    <row r="374" spans="1:8" ht="15" customHeight="1" x14ac:dyDescent="0.25">
      <c r="A374" t="s">
        <v>921</v>
      </c>
      <c r="B374" t="s">
        <v>922</v>
      </c>
      <c r="C374" s="1">
        <v>46128</v>
      </c>
      <c r="D374" s="5">
        <v>3</v>
      </c>
      <c r="E374" t="s">
        <v>558</v>
      </c>
      <c r="F374" t="s">
        <v>6</v>
      </c>
      <c r="G374" t="s">
        <v>124</v>
      </c>
      <c r="H374" t="s">
        <v>923</v>
      </c>
    </row>
    <row r="375" spans="1:8" ht="15" customHeight="1" x14ac:dyDescent="0.25">
      <c r="A375" t="s">
        <v>924</v>
      </c>
      <c r="B375" t="s">
        <v>925</v>
      </c>
      <c r="C375" s="1">
        <v>46128</v>
      </c>
      <c r="D375" s="5">
        <v>3.86</v>
      </c>
      <c r="E375" t="s">
        <v>558</v>
      </c>
      <c r="F375" t="s">
        <v>6</v>
      </c>
      <c r="G375" t="s">
        <v>183</v>
      </c>
      <c r="H375" t="s">
        <v>926</v>
      </c>
    </row>
    <row r="376" spans="1:8" ht="15" customHeight="1" x14ac:dyDescent="0.25">
      <c r="A376" t="s">
        <v>304</v>
      </c>
      <c r="B376" t="s">
        <v>305</v>
      </c>
      <c r="C376" s="1">
        <v>46128</v>
      </c>
      <c r="D376" s="5">
        <v>25.68</v>
      </c>
      <c r="E376" t="s">
        <v>558</v>
      </c>
      <c r="F376" t="s">
        <v>6</v>
      </c>
      <c r="G376" t="s">
        <v>239</v>
      </c>
      <c r="H376" t="s">
        <v>927</v>
      </c>
    </row>
    <row r="377" spans="1:8" ht="15" customHeight="1" x14ac:dyDescent="0.25">
      <c r="A377" t="s">
        <v>133</v>
      </c>
      <c r="B377" t="s">
        <v>134</v>
      </c>
      <c r="C377" s="1">
        <v>46128</v>
      </c>
      <c r="D377" s="5">
        <v>124.67</v>
      </c>
      <c r="E377" t="s">
        <v>558</v>
      </c>
      <c r="F377" t="s">
        <v>6</v>
      </c>
      <c r="G377" t="s">
        <v>135</v>
      </c>
      <c r="H377" t="s">
        <v>928</v>
      </c>
    </row>
    <row r="378" spans="1:8" ht="15" customHeight="1" x14ac:dyDescent="0.25">
      <c r="A378" t="s">
        <v>929</v>
      </c>
      <c r="B378" t="s">
        <v>930</v>
      </c>
      <c r="C378" s="1">
        <v>46128</v>
      </c>
      <c r="D378" s="5">
        <v>38.520000000000003</v>
      </c>
      <c r="E378" t="s">
        <v>558</v>
      </c>
      <c r="F378" t="s">
        <v>6</v>
      </c>
      <c r="G378" t="s">
        <v>260</v>
      </c>
      <c r="H378" t="s">
        <v>931</v>
      </c>
    </row>
    <row r="379" spans="1:8" ht="15" customHeight="1" x14ac:dyDescent="0.25">
      <c r="A379" t="s">
        <v>364</v>
      </c>
      <c r="B379" t="s">
        <v>365</v>
      </c>
      <c r="C379" s="1">
        <v>46129</v>
      </c>
      <c r="D379" s="5">
        <v>26</v>
      </c>
      <c r="E379" t="s">
        <v>558</v>
      </c>
      <c r="F379" t="s">
        <v>6</v>
      </c>
      <c r="G379" t="s">
        <v>128</v>
      </c>
      <c r="H379" t="s">
        <v>932</v>
      </c>
    </row>
    <row r="380" spans="1:8" ht="15" customHeight="1" x14ac:dyDescent="0.25">
      <c r="A380" t="s">
        <v>933</v>
      </c>
      <c r="B380" t="s">
        <v>934</v>
      </c>
      <c r="C380" s="1">
        <v>46129</v>
      </c>
      <c r="D380" s="5">
        <v>34.799999999999997</v>
      </c>
      <c r="E380" t="s">
        <v>558</v>
      </c>
      <c r="F380" t="s">
        <v>6</v>
      </c>
      <c r="G380" t="s">
        <v>124</v>
      </c>
      <c r="H380" t="s">
        <v>935</v>
      </c>
    </row>
    <row r="381" spans="1:8" ht="15" customHeight="1" x14ac:dyDescent="0.25">
      <c r="A381" t="s">
        <v>936</v>
      </c>
      <c r="B381" t="s">
        <v>937</v>
      </c>
      <c r="C381" s="1">
        <v>46129</v>
      </c>
      <c r="D381" s="5">
        <v>20.8</v>
      </c>
      <c r="E381" t="s">
        <v>558</v>
      </c>
      <c r="F381" t="s">
        <v>6</v>
      </c>
      <c r="G381" t="s">
        <v>369</v>
      </c>
      <c r="H381" t="s">
        <v>938</v>
      </c>
    </row>
    <row r="382" spans="1:8" ht="15" customHeight="1" x14ac:dyDescent="0.25">
      <c r="A382" t="s">
        <v>939</v>
      </c>
      <c r="B382" t="s">
        <v>940</v>
      </c>
      <c r="C382" s="1">
        <v>46129</v>
      </c>
      <c r="D382" s="5">
        <v>5.52</v>
      </c>
      <c r="E382" t="s">
        <v>558</v>
      </c>
      <c r="F382" t="s">
        <v>6</v>
      </c>
      <c r="G382" t="s">
        <v>292</v>
      </c>
      <c r="H382" t="s">
        <v>941</v>
      </c>
    </row>
    <row r="383" spans="1:8" ht="15" customHeight="1" x14ac:dyDescent="0.25">
      <c r="A383" t="s">
        <v>846</v>
      </c>
      <c r="B383" t="s">
        <v>847</v>
      </c>
      <c r="C383" s="1">
        <v>46129</v>
      </c>
      <c r="D383" s="5">
        <v>5.52</v>
      </c>
      <c r="E383" t="s">
        <v>558</v>
      </c>
      <c r="F383" t="s">
        <v>6</v>
      </c>
      <c r="G383" t="s">
        <v>128</v>
      </c>
      <c r="H383" t="s">
        <v>942</v>
      </c>
    </row>
    <row r="384" spans="1:8" ht="15" customHeight="1" x14ac:dyDescent="0.25">
      <c r="A384" t="s">
        <v>943</v>
      </c>
      <c r="B384" t="s">
        <v>944</v>
      </c>
      <c r="C384" s="1">
        <v>46129</v>
      </c>
      <c r="D384" s="5">
        <v>25.68</v>
      </c>
      <c r="E384" t="s">
        <v>558</v>
      </c>
      <c r="F384" t="s">
        <v>6</v>
      </c>
      <c r="G384" t="s">
        <v>264</v>
      </c>
      <c r="H384" t="s">
        <v>945</v>
      </c>
    </row>
    <row r="385" spans="1:8" ht="15" customHeight="1" x14ac:dyDescent="0.25">
      <c r="A385" t="s">
        <v>946</v>
      </c>
      <c r="B385" t="s">
        <v>947</v>
      </c>
      <c r="C385" s="1">
        <v>46129</v>
      </c>
      <c r="D385" s="5">
        <v>119.15</v>
      </c>
      <c r="E385" t="s">
        <v>558</v>
      </c>
      <c r="F385" t="s">
        <v>6</v>
      </c>
      <c r="G385" t="s">
        <v>292</v>
      </c>
      <c r="H385" t="s">
        <v>948</v>
      </c>
    </row>
    <row r="386" spans="1:8" ht="15" customHeight="1" x14ac:dyDescent="0.25">
      <c r="A386" t="s">
        <v>949</v>
      </c>
      <c r="B386" t="s">
        <v>950</v>
      </c>
      <c r="C386" s="1">
        <v>46129</v>
      </c>
      <c r="D386" s="5">
        <v>146.66999999999999</v>
      </c>
      <c r="E386" t="s">
        <v>558</v>
      </c>
      <c r="F386" t="s">
        <v>6</v>
      </c>
      <c r="G386" t="s">
        <v>128</v>
      </c>
      <c r="H386" t="s">
        <v>951</v>
      </c>
    </row>
    <row r="387" spans="1:8" ht="15" customHeight="1" x14ac:dyDescent="0.25">
      <c r="A387" t="s">
        <v>952</v>
      </c>
      <c r="B387" t="s">
        <v>953</v>
      </c>
      <c r="C387" s="1">
        <v>46129</v>
      </c>
      <c r="D387" s="5">
        <v>146.66999999999999</v>
      </c>
      <c r="E387" t="s">
        <v>558</v>
      </c>
      <c r="F387" t="s">
        <v>6</v>
      </c>
      <c r="G387" t="s">
        <v>128</v>
      </c>
      <c r="H387" t="s">
        <v>954</v>
      </c>
    </row>
    <row r="388" spans="1:8" ht="15" customHeight="1" x14ac:dyDescent="0.25">
      <c r="A388" t="s">
        <v>955</v>
      </c>
      <c r="B388" t="s">
        <v>956</v>
      </c>
      <c r="C388" s="1">
        <v>46129</v>
      </c>
      <c r="D388" s="5">
        <v>146.66999999999999</v>
      </c>
      <c r="E388" t="s">
        <v>558</v>
      </c>
      <c r="F388" t="s">
        <v>6</v>
      </c>
      <c r="G388" t="s">
        <v>128</v>
      </c>
      <c r="H388" t="s">
        <v>957</v>
      </c>
    </row>
    <row r="389" spans="1:8" ht="15" customHeight="1" x14ac:dyDescent="0.25">
      <c r="A389" s="11" t="s">
        <v>958</v>
      </c>
      <c r="B389" t="s">
        <v>959</v>
      </c>
      <c r="C389" s="1">
        <v>46129</v>
      </c>
      <c r="D389" s="5">
        <v>146.66999999999999</v>
      </c>
      <c r="E389" t="s">
        <v>558</v>
      </c>
      <c r="F389" t="s">
        <v>6</v>
      </c>
      <c r="G389" t="s">
        <v>128</v>
      </c>
      <c r="H389" t="s">
        <v>960</v>
      </c>
    </row>
    <row r="390" spans="1:8" ht="15" customHeight="1" x14ac:dyDescent="0.25">
      <c r="A390" t="s">
        <v>961</v>
      </c>
      <c r="B390" t="s">
        <v>962</v>
      </c>
      <c r="C390" s="1">
        <v>46129</v>
      </c>
      <c r="D390" s="5">
        <v>141.79</v>
      </c>
      <c r="E390" t="s">
        <v>558</v>
      </c>
      <c r="F390" t="s">
        <v>6</v>
      </c>
      <c r="G390" t="s">
        <v>222</v>
      </c>
      <c r="H390" t="s">
        <v>963</v>
      </c>
    </row>
    <row r="391" spans="1:8" ht="15" customHeight="1" x14ac:dyDescent="0.25">
      <c r="A391" t="s">
        <v>587</v>
      </c>
      <c r="B391" t="s">
        <v>588</v>
      </c>
      <c r="C391" s="1">
        <v>46129</v>
      </c>
      <c r="D391" s="5">
        <v>3.86</v>
      </c>
      <c r="E391" t="s">
        <v>558</v>
      </c>
      <c r="F391" t="s">
        <v>6</v>
      </c>
      <c r="G391" t="s">
        <v>148</v>
      </c>
      <c r="H391" t="s">
        <v>964</v>
      </c>
    </row>
    <row r="392" spans="1:8" ht="15" customHeight="1" x14ac:dyDescent="0.25">
      <c r="A392" t="s">
        <v>171</v>
      </c>
      <c r="B392" t="s">
        <v>172</v>
      </c>
      <c r="C392" s="1">
        <v>46129</v>
      </c>
      <c r="D392" s="5">
        <v>3.86</v>
      </c>
      <c r="E392" t="s">
        <v>558</v>
      </c>
      <c r="F392" t="s">
        <v>6</v>
      </c>
      <c r="G392" t="s">
        <v>148</v>
      </c>
      <c r="H392" t="s">
        <v>965</v>
      </c>
    </row>
    <row r="393" spans="1:8" ht="15" customHeight="1" x14ac:dyDescent="0.25">
      <c r="A393" t="s">
        <v>966</v>
      </c>
      <c r="B393" t="s">
        <v>967</v>
      </c>
      <c r="C393" s="1">
        <v>46129</v>
      </c>
      <c r="D393" s="5">
        <v>31.2</v>
      </c>
      <c r="E393" t="s">
        <v>558</v>
      </c>
      <c r="F393" t="s">
        <v>6</v>
      </c>
      <c r="G393" t="s">
        <v>121</v>
      </c>
      <c r="H393" t="s">
        <v>968</v>
      </c>
    </row>
    <row r="394" spans="1:8" ht="15" customHeight="1" x14ac:dyDescent="0.25">
      <c r="A394" t="s">
        <v>969</v>
      </c>
      <c r="B394" t="s">
        <v>970</v>
      </c>
      <c r="C394" s="1">
        <v>46129</v>
      </c>
      <c r="D394" s="5">
        <v>119.15</v>
      </c>
      <c r="E394" t="s">
        <v>558</v>
      </c>
      <c r="F394" t="s">
        <v>6</v>
      </c>
      <c r="G394" t="s">
        <v>292</v>
      </c>
      <c r="H394" t="s">
        <v>971</v>
      </c>
    </row>
    <row r="395" spans="1:8" ht="15" customHeight="1" x14ac:dyDescent="0.25">
      <c r="A395" t="s">
        <v>284</v>
      </c>
      <c r="B395" t="s">
        <v>285</v>
      </c>
      <c r="C395" s="1">
        <v>46129</v>
      </c>
      <c r="D395" s="5">
        <v>52.2</v>
      </c>
      <c r="E395" t="s">
        <v>558</v>
      </c>
      <c r="F395" t="s">
        <v>6</v>
      </c>
      <c r="G395" t="s">
        <v>117</v>
      </c>
      <c r="H395" t="s">
        <v>972</v>
      </c>
    </row>
    <row r="396" spans="1:8" ht="15" customHeight="1" x14ac:dyDescent="0.25">
      <c r="A396" t="s">
        <v>973</v>
      </c>
      <c r="B396" t="s">
        <v>974</v>
      </c>
      <c r="C396" s="1">
        <v>46129</v>
      </c>
      <c r="D396" s="5">
        <v>5.52</v>
      </c>
      <c r="E396" t="s">
        <v>558</v>
      </c>
      <c r="F396" t="s">
        <v>6</v>
      </c>
      <c r="G396" t="s">
        <v>231</v>
      </c>
      <c r="H396" t="s">
        <v>975</v>
      </c>
    </row>
    <row r="397" spans="1:8" ht="15" customHeight="1" x14ac:dyDescent="0.25">
      <c r="A397" t="s">
        <v>976</v>
      </c>
      <c r="B397" t="s">
        <v>977</v>
      </c>
      <c r="C397" s="1">
        <v>46129</v>
      </c>
      <c r="D397" s="5">
        <v>38.520000000000003</v>
      </c>
      <c r="E397" t="s">
        <v>558</v>
      </c>
      <c r="F397" t="s">
        <v>6</v>
      </c>
      <c r="G397" t="s">
        <v>231</v>
      </c>
      <c r="H397" t="s">
        <v>978</v>
      </c>
    </row>
    <row r="398" spans="1:8" ht="15" customHeight="1" x14ac:dyDescent="0.25">
      <c r="A398" t="s">
        <v>29</v>
      </c>
      <c r="B398" t="s">
        <v>32</v>
      </c>
      <c r="C398" s="1">
        <v>46129</v>
      </c>
      <c r="D398" s="5">
        <v>5.52</v>
      </c>
      <c r="E398" t="s">
        <v>558</v>
      </c>
      <c r="F398" t="s">
        <v>6</v>
      </c>
      <c r="G398" t="s">
        <v>231</v>
      </c>
      <c r="H398" t="s">
        <v>979</v>
      </c>
    </row>
    <row r="399" spans="1:8" ht="15" customHeight="1" x14ac:dyDescent="0.25">
      <c r="A399" t="s">
        <v>509</v>
      </c>
      <c r="B399" t="s">
        <v>510</v>
      </c>
      <c r="C399" s="1">
        <v>46129</v>
      </c>
      <c r="D399" s="5">
        <v>5.52</v>
      </c>
      <c r="E399" t="s">
        <v>558</v>
      </c>
      <c r="F399" t="s">
        <v>6</v>
      </c>
      <c r="G399" t="s">
        <v>231</v>
      </c>
      <c r="H399" t="s">
        <v>980</v>
      </c>
    </row>
    <row r="400" spans="1:8" ht="15" customHeight="1" x14ac:dyDescent="0.25">
      <c r="A400" t="s">
        <v>981</v>
      </c>
      <c r="B400" t="s">
        <v>982</v>
      </c>
      <c r="C400" s="1">
        <v>46129</v>
      </c>
      <c r="D400" s="5">
        <v>3</v>
      </c>
      <c r="E400" t="s">
        <v>558</v>
      </c>
      <c r="F400" t="s">
        <v>6</v>
      </c>
      <c r="G400" t="s">
        <v>117</v>
      </c>
      <c r="H400" t="s">
        <v>983</v>
      </c>
    </row>
    <row r="401" spans="1:8" ht="15" customHeight="1" x14ac:dyDescent="0.25">
      <c r="A401" t="s">
        <v>984</v>
      </c>
      <c r="B401" t="s">
        <v>985</v>
      </c>
      <c r="C401" s="1">
        <v>46129</v>
      </c>
      <c r="D401" s="5">
        <v>152.53</v>
      </c>
      <c r="E401" t="s">
        <v>558</v>
      </c>
      <c r="F401" t="s">
        <v>6</v>
      </c>
      <c r="G401" t="s">
        <v>986</v>
      </c>
      <c r="H401" t="s">
        <v>987</v>
      </c>
    </row>
    <row r="402" spans="1:8" ht="15" customHeight="1" x14ac:dyDescent="0.25">
      <c r="A402" t="s">
        <v>988</v>
      </c>
      <c r="B402" t="s">
        <v>989</v>
      </c>
      <c r="C402" s="1">
        <v>46130</v>
      </c>
      <c r="D402" s="5">
        <v>152.19</v>
      </c>
      <c r="E402" t="s">
        <v>558</v>
      </c>
      <c r="F402" t="s">
        <v>6</v>
      </c>
      <c r="G402" t="s">
        <v>231</v>
      </c>
      <c r="H402" t="s">
        <v>990</v>
      </c>
    </row>
    <row r="403" spans="1:8" ht="15" customHeight="1" x14ac:dyDescent="0.25">
      <c r="A403" t="s">
        <v>991</v>
      </c>
      <c r="B403" t="s">
        <v>404</v>
      </c>
      <c r="C403" s="1">
        <v>46130</v>
      </c>
      <c r="D403" s="5">
        <v>61.83</v>
      </c>
      <c r="E403" t="s">
        <v>558</v>
      </c>
      <c r="F403" t="s">
        <v>6</v>
      </c>
      <c r="G403" t="s">
        <v>117</v>
      </c>
      <c r="H403" t="s">
        <v>992</v>
      </c>
    </row>
    <row r="404" spans="1:8" ht="15" customHeight="1" x14ac:dyDescent="0.25">
      <c r="A404" t="s">
        <v>356</v>
      </c>
      <c r="B404" t="s">
        <v>357</v>
      </c>
      <c r="C404" s="1">
        <v>46130</v>
      </c>
      <c r="D404" s="5">
        <v>124.67</v>
      </c>
      <c r="E404" t="s">
        <v>558</v>
      </c>
      <c r="F404" t="s">
        <v>6</v>
      </c>
      <c r="G404" t="s">
        <v>235</v>
      </c>
      <c r="H404" t="s">
        <v>993</v>
      </c>
    </row>
    <row r="405" spans="1:8" ht="15" customHeight="1" x14ac:dyDescent="0.25">
      <c r="A405" t="s">
        <v>994</v>
      </c>
      <c r="B405" t="s">
        <v>995</v>
      </c>
      <c r="C405" s="1">
        <v>46131</v>
      </c>
      <c r="D405" s="5">
        <v>38.520000000000003</v>
      </c>
      <c r="E405" t="s">
        <v>558</v>
      </c>
      <c r="F405" t="s">
        <v>6</v>
      </c>
      <c r="G405" t="s">
        <v>309</v>
      </c>
      <c r="H405" t="s">
        <v>996</v>
      </c>
    </row>
    <row r="406" spans="1:8" ht="15" customHeight="1" x14ac:dyDescent="0.25">
      <c r="A406" t="s">
        <v>435</v>
      </c>
      <c r="B406" t="s">
        <v>436</v>
      </c>
      <c r="C406" s="1">
        <v>46131</v>
      </c>
      <c r="D406" s="5">
        <v>3</v>
      </c>
      <c r="E406" t="s">
        <v>558</v>
      </c>
      <c r="F406" t="s">
        <v>6</v>
      </c>
      <c r="G406" t="s">
        <v>309</v>
      </c>
      <c r="H406" t="s">
        <v>997</v>
      </c>
    </row>
    <row r="407" spans="1:8" ht="15" customHeight="1" x14ac:dyDescent="0.25">
      <c r="A407" t="s">
        <v>998</v>
      </c>
      <c r="B407" t="s">
        <v>999</v>
      </c>
      <c r="C407" s="1">
        <v>46132</v>
      </c>
      <c r="D407" s="5">
        <v>3.68</v>
      </c>
      <c r="E407" t="s">
        <v>558</v>
      </c>
      <c r="F407" t="s">
        <v>6</v>
      </c>
      <c r="G407" t="s">
        <v>264</v>
      </c>
      <c r="H407" t="s">
        <v>1000</v>
      </c>
    </row>
    <row r="408" spans="1:8" ht="15" customHeight="1" x14ac:dyDescent="0.25">
      <c r="A408" t="s">
        <v>820</v>
      </c>
      <c r="B408" t="s">
        <v>821</v>
      </c>
      <c r="C408" s="1">
        <v>46132</v>
      </c>
      <c r="D408" s="5">
        <v>5.52</v>
      </c>
      <c r="E408" t="s">
        <v>558</v>
      </c>
      <c r="F408" t="s">
        <v>6</v>
      </c>
      <c r="G408" t="s">
        <v>222</v>
      </c>
      <c r="H408" t="s">
        <v>1001</v>
      </c>
    </row>
    <row r="409" spans="1:8" ht="15" customHeight="1" x14ac:dyDescent="0.25">
      <c r="A409" t="s">
        <v>769</v>
      </c>
      <c r="B409" t="s">
        <v>770</v>
      </c>
      <c r="C409" s="1">
        <v>46132</v>
      </c>
      <c r="D409" s="5">
        <v>5.52</v>
      </c>
      <c r="E409" t="s">
        <v>558</v>
      </c>
      <c r="F409" t="s">
        <v>6</v>
      </c>
      <c r="G409" t="s">
        <v>222</v>
      </c>
      <c r="H409" t="s">
        <v>1002</v>
      </c>
    </row>
    <row r="410" spans="1:8" ht="15" customHeight="1" x14ac:dyDescent="0.25">
      <c r="A410" t="s">
        <v>1003</v>
      </c>
      <c r="B410" t="s">
        <v>1004</v>
      </c>
      <c r="C410" s="1">
        <v>46132</v>
      </c>
      <c r="D410" s="5">
        <v>33.380000000000003</v>
      </c>
      <c r="E410" t="s">
        <v>558</v>
      </c>
      <c r="F410" t="s">
        <v>6</v>
      </c>
      <c r="G410" t="s">
        <v>794</v>
      </c>
      <c r="H410" t="s">
        <v>1005</v>
      </c>
    </row>
    <row r="411" spans="1:8" ht="15" customHeight="1" x14ac:dyDescent="0.25">
      <c r="A411" t="s">
        <v>602</v>
      </c>
      <c r="B411" t="s">
        <v>603</v>
      </c>
      <c r="C411" s="1">
        <v>46132</v>
      </c>
      <c r="D411" s="5">
        <v>5.52</v>
      </c>
      <c r="E411" t="s">
        <v>558</v>
      </c>
      <c r="F411" t="s">
        <v>6</v>
      </c>
      <c r="G411" t="s">
        <v>135</v>
      </c>
      <c r="H411" t="s">
        <v>1006</v>
      </c>
    </row>
    <row r="412" spans="1:8" ht="15" customHeight="1" x14ac:dyDescent="0.25">
      <c r="A412" t="s">
        <v>490</v>
      </c>
      <c r="B412" t="s">
        <v>491</v>
      </c>
      <c r="C412" s="1">
        <v>46132</v>
      </c>
      <c r="D412" s="5">
        <v>26</v>
      </c>
      <c r="E412" t="s">
        <v>558</v>
      </c>
      <c r="F412" t="s">
        <v>6</v>
      </c>
      <c r="G412" t="s">
        <v>128</v>
      </c>
      <c r="H412" t="s">
        <v>1007</v>
      </c>
    </row>
    <row r="413" spans="1:8" ht="15" customHeight="1" x14ac:dyDescent="0.25">
      <c r="A413" t="s">
        <v>493</v>
      </c>
      <c r="B413" t="s">
        <v>494</v>
      </c>
      <c r="C413" s="1">
        <v>46132</v>
      </c>
      <c r="D413" s="5">
        <v>26</v>
      </c>
      <c r="E413" t="s">
        <v>558</v>
      </c>
      <c r="F413" t="s">
        <v>6</v>
      </c>
      <c r="G413" t="s">
        <v>128</v>
      </c>
      <c r="H413" t="s">
        <v>1008</v>
      </c>
    </row>
    <row r="414" spans="1:8" ht="15" customHeight="1" x14ac:dyDescent="0.25">
      <c r="A414" t="s">
        <v>91</v>
      </c>
      <c r="B414" t="s">
        <v>92</v>
      </c>
      <c r="C414" s="1">
        <v>46132</v>
      </c>
      <c r="D414" s="5">
        <v>26</v>
      </c>
      <c r="E414" t="s">
        <v>558</v>
      </c>
      <c r="F414" t="s">
        <v>6</v>
      </c>
      <c r="G414" t="s">
        <v>128</v>
      </c>
      <c r="H414" t="s">
        <v>1009</v>
      </c>
    </row>
    <row r="415" spans="1:8" ht="15" customHeight="1" x14ac:dyDescent="0.25">
      <c r="A415" t="s">
        <v>388</v>
      </c>
      <c r="B415" t="s">
        <v>389</v>
      </c>
      <c r="C415" s="1">
        <v>46132</v>
      </c>
      <c r="D415" s="5">
        <v>26</v>
      </c>
      <c r="E415" t="s">
        <v>558</v>
      </c>
      <c r="F415" t="s">
        <v>6</v>
      </c>
      <c r="G415" t="s">
        <v>128</v>
      </c>
      <c r="H415" t="s">
        <v>1010</v>
      </c>
    </row>
    <row r="416" spans="1:8" ht="15" customHeight="1" x14ac:dyDescent="0.25">
      <c r="A416" t="s">
        <v>1011</v>
      </c>
      <c r="B416" t="s">
        <v>1012</v>
      </c>
      <c r="C416" s="1">
        <v>46132</v>
      </c>
      <c r="D416" s="5">
        <v>38.520000000000003</v>
      </c>
      <c r="E416" t="s">
        <v>558</v>
      </c>
      <c r="F416" t="s">
        <v>6</v>
      </c>
      <c r="G416" t="s">
        <v>222</v>
      </c>
      <c r="H416" t="s">
        <v>1013</v>
      </c>
    </row>
    <row r="417" spans="1:8" ht="15" customHeight="1" x14ac:dyDescent="0.25">
      <c r="A417" t="s">
        <v>613</v>
      </c>
      <c r="B417" t="s">
        <v>614</v>
      </c>
      <c r="C417" s="1">
        <v>46132</v>
      </c>
      <c r="D417" s="5">
        <v>3</v>
      </c>
      <c r="E417" t="s">
        <v>558</v>
      </c>
      <c r="F417" t="s">
        <v>6</v>
      </c>
      <c r="G417" t="s">
        <v>124</v>
      </c>
      <c r="H417" t="s">
        <v>1014</v>
      </c>
    </row>
    <row r="418" spans="1:8" ht="15" customHeight="1" x14ac:dyDescent="0.25">
      <c r="A418" t="s">
        <v>752</v>
      </c>
      <c r="B418" t="s">
        <v>753</v>
      </c>
      <c r="C418" s="1">
        <v>46132</v>
      </c>
      <c r="D418" s="5">
        <v>5.52</v>
      </c>
      <c r="E418" t="s">
        <v>558</v>
      </c>
      <c r="F418" t="s">
        <v>6</v>
      </c>
      <c r="G418" t="s">
        <v>222</v>
      </c>
      <c r="H418" t="s">
        <v>1015</v>
      </c>
    </row>
    <row r="419" spans="1:8" ht="15" customHeight="1" x14ac:dyDescent="0.25">
      <c r="A419" t="s">
        <v>1016</v>
      </c>
      <c r="B419" t="s">
        <v>1017</v>
      </c>
      <c r="C419" s="1">
        <v>46132</v>
      </c>
      <c r="D419" s="5">
        <v>47.31</v>
      </c>
      <c r="E419" t="s">
        <v>558</v>
      </c>
      <c r="F419" t="s">
        <v>6</v>
      </c>
      <c r="G419" t="s">
        <v>135</v>
      </c>
      <c r="H419" t="s">
        <v>1018</v>
      </c>
    </row>
    <row r="420" spans="1:8" ht="15" customHeight="1" x14ac:dyDescent="0.25">
      <c r="A420" t="s">
        <v>1019</v>
      </c>
      <c r="B420" t="s">
        <v>1020</v>
      </c>
      <c r="C420" s="1">
        <v>46132</v>
      </c>
      <c r="D420" s="5">
        <v>47.31</v>
      </c>
      <c r="E420" t="s">
        <v>558</v>
      </c>
      <c r="F420" t="s">
        <v>6</v>
      </c>
      <c r="G420" t="s">
        <v>296</v>
      </c>
      <c r="H420" t="s">
        <v>1021</v>
      </c>
    </row>
    <row r="421" spans="1:8" ht="15" customHeight="1" x14ac:dyDescent="0.25">
      <c r="A421" t="s">
        <v>471</v>
      </c>
      <c r="B421" t="s">
        <v>472</v>
      </c>
      <c r="C421" s="1">
        <v>46132</v>
      </c>
      <c r="D421" s="5">
        <v>3</v>
      </c>
      <c r="E421" t="s">
        <v>558</v>
      </c>
      <c r="F421" t="s">
        <v>6</v>
      </c>
      <c r="G421" t="s">
        <v>314</v>
      </c>
      <c r="H421" t="s">
        <v>1022</v>
      </c>
    </row>
    <row r="422" spans="1:8" ht="15" customHeight="1" x14ac:dyDescent="0.25">
      <c r="A422" t="s">
        <v>900</v>
      </c>
      <c r="B422" t="s">
        <v>901</v>
      </c>
      <c r="C422" s="1">
        <v>46132</v>
      </c>
      <c r="D422" s="5">
        <v>5.52</v>
      </c>
      <c r="E422" t="s">
        <v>558</v>
      </c>
      <c r="F422" t="s">
        <v>6</v>
      </c>
      <c r="G422" t="s">
        <v>794</v>
      </c>
      <c r="H422" t="s">
        <v>1023</v>
      </c>
    </row>
    <row r="423" spans="1:8" ht="15" customHeight="1" x14ac:dyDescent="0.25">
      <c r="A423" t="s">
        <v>415</v>
      </c>
      <c r="B423" t="s">
        <v>416</v>
      </c>
      <c r="C423" s="1">
        <v>46132</v>
      </c>
      <c r="D423" s="5">
        <v>5.52</v>
      </c>
      <c r="E423" t="s">
        <v>558</v>
      </c>
      <c r="F423" t="s">
        <v>6</v>
      </c>
      <c r="G423" t="s">
        <v>794</v>
      </c>
      <c r="H423" t="s">
        <v>1024</v>
      </c>
    </row>
    <row r="424" spans="1:8" ht="15" customHeight="1" x14ac:dyDescent="0.25">
      <c r="A424" t="s">
        <v>681</v>
      </c>
      <c r="B424" t="s">
        <v>682</v>
      </c>
      <c r="C424" s="1">
        <v>46132</v>
      </c>
      <c r="D424" s="5">
        <v>5.52</v>
      </c>
      <c r="E424" t="s">
        <v>558</v>
      </c>
      <c r="F424" t="s">
        <v>6</v>
      </c>
      <c r="G424" t="s">
        <v>222</v>
      </c>
      <c r="H424" t="s">
        <v>1025</v>
      </c>
    </row>
    <row r="425" spans="1:8" ht="15" customHeight="1" x14ac:dyDescent="0.25">
      <c r="A425" t="s">
        <v>792</v>
      </c>
      <c r="B425" t="s">
        <v>793</v>
      </c>
      <c r="C425" s="1">
        <v>46132</v>
      </c>
      <c r="D425" s="5">
        <v>5.52</v>
      </c>
      <c r="E425" t="s">
        <v>558</v>
      </c>
      <c r="F425" t="s">
        <v>6</v>
      </c>
      <c r="G425" t="s">
        <v>1026</v>
      </c>
      <c r="H425" t="s">
        <v>1027</v>
      </c>
    </row>
    <row r="426" spans="1:8" ht="15" customHeight="1" x14ac:dyDescent="0.25">
      <c r="A426" t="s">
        <v>1028</v>
      </c>
      <c r="B426" t="s">
        <v>1029</v>
      </c>
      <c r="C426" s="1">
        <v>46132</v>
      </c>
      <c r="D426" s="5">
        <v>141.79</v>
      </c>
      <c r="E426" t="s">
        <v>558</v>
      </c>
      <c r="F426" t="s">
        <v>6</v>
      </c>
      <c r="G426" t="s">
        <v>135</v>
      </c>
      <c r="H426" t="s">
        <v>1030</v>
      </c>
    </row>
    <row r="427" spans="1:8" ht="15" customHeight="1" x14ac:dyDescent="0.25">
      <c r="A427" t="s">
        <v>1031</v>
      </c>
      <c r="B427" t="s">
        <v>1032</v>
      </c>
      <c r="C427" s="1">
        <v>46132</v>
      </c>
      <c r="D427" s="5">
        <v>159.51</v>
      </c>
      <c r="E427" t="s">
        <v>558</v>
      </c>
      <c r="F427" t="s">
        <v>6</v>
      </c>
      <c r="G427" t="s">
        <v>222</v>
      </c>
      <c r="H427" t="s">
        <v>1033</v>
      </c>
    </row>
    <row r="428" spans="1:8" ht="15" customHeight="1" x14ac:dyDescent="0.25">
      <c r="A428" t="s">
        <v>1034</v>
      </c>
      <c r="B428" t="s">
        <v>1035</v>
      </c>
      <c r="C428" s="1">
        <v>46132</v>
      </c>
      <c r="D428" s="5">
        <v>159.51</v>
      </c>
      <c r="E428" t="s">
        <v>558</v>
      </c>
      <c r="F428" t="s">
        <v>6</v>
      </c>
      <c r="G428" t="s">
        <v>222</v>
      </c>
      <c r="H428" t="s">
        <v>1036</v>
      </c>
    </row>
    <row r="429" spans="1:8" ht="15" customHeight="1" x14ac:dyDescent="0.25">
      <c r="A429" t="s">
        <v>1037</v>
      </c>
      <c r="B429" t="s">
        <v>1038</v>
      </c>
      <c r="C429" s="1">
        <v>46132</v>
      </c>
      <c r="D429" s="5">
        <v>141.79</v>
      </c>
      <c r="E429" t="s">
        <v>558</v>
      </c>
      <c r="F429" t="s">
        <v>6</v>
      </c>
      <c r="G429" t="s">
        <v>135</v>
      </c>
      <c r="H429" t="s">
        <v>1039</v>
      </c>
    </row>
    <row r="430" spans="1:8" ht="15" customHeight="1" x14ac:dyDescent="0.25">
      <c r="A430" t="s">
        <v>1040</v>
      </c>
      <c r="B430" t="s">
        <v>1041</v>
      </c>
      <c r="C430" s="1">
        <v>46132</v>
      </c>
      <c r="D430" s="5">
        <v>141.79</v>
      </c>
      <c r="E430" t="s">
        <v>558</v>
      </c>
      <c r="F430" t="s">
        <v>6</v>
      </c>
      <c r="G430" t="s">
        <v>235</v>
      </c>
      <c r="H430" t="s">
        <v>1042</v>
      </c>
    </row>
    <row r="431" spans="1:8" ht="15" customHeight="1" x14ac:dyDescent="0.25">
      <c r="A431" t="s">
        <v>1043</v>
      </c>
      <c r="B431" t="s">
        <v>1044</v>
      </c>
      <c r="C431" s="1">
        <v>46132</v>
      </c>
      <c r="D431" s="5">
        <v>131.38999999999999</v>
      </c>
      <c r="E431" t="s">
        <v>558</v>
      </c>
      <c r="F431" t="s">
        <v>6</v>
      </c>
      <c r="G431" t="s">
        <v>369</v>
      </c>
      <c r="H431" t="s">
        <v>1045</v>
      </c>
    </row>
    <row r="432" spans="1:8" ht="15" customHeight="1" x14ac:dyDescent="0.25">
      <c r="A432" t="s">
        <v>1046</v>
      </c>
      <c r="B432" t="s">
        <v>1047</v>
      </c>
      <c r="C432" s="1">
        <v>46132</v>
      </c>
      <c r="D432" s="5">
        <v>141.79</v>
      </c>
      <c r="E432" t="s">
        <v>558</v>
      </c>
      <c r="F432" t="s">
        <v>6</v>
      </c>
      <c r="G432" t="s">
        <v>986</v>
      </c>
      <c r="H432" t="s">
        <v>1048</v>
      </c>
    </row>
    <row r="433" spans="1:8" ht="15" customHeight="1" x14ac:dyDescent="0.25">
      <c r="A433" t="s">
        <v>509</v>
      </c>
      <c r="B433" t="s">
        <v>510</v>
      </c>
      <c r="C433" s="1">
        <v>46133</v>
      </c>
      <c r="D433" s="5">
        <v>5.52</v>
      </c>
      <c r="E433" t="s">
        <v>558</v>
      </c>
      <c r="F433" t="s">
        <v>1049</v>
      </c>
      <c r="G433" t="s">
        <v>231</v>
      </c>
      <c r="H433" t="s">
        <v>1050</v>
      </c>
    </row>
    <row r="434" spans="1:8" ht="15" customHeight="1" x14ac:dyDescent="0.25">
      <c r="A434" t="s">
        <v>29</v>
      </c>
      <c r="B434" t="s">
        <v>32</v>
      </c>
      <c r="C434" s="1">
        <v>46133</v>
      </c>
      <c r="D434" s="5">
        <v>5.52</v>
      </c>
      <c r="E434" t="s">
        <v>558</v>
      </c>
      <c r="F434" t="s">
        <v>1049</v>
      </c>
      <c r="G434" t="s">
        <v>231</v>
      </c>
      <c r="H434" t="s">
        <v>1051</v>
      </c>
    </row>
    <row r="435" spans="1:8" ht="15" customHeight="1" x14ac:dyDescent="0.25">
      <c r="A435" t="s">
        <v>1052</v>
      </c>
      <c r="B435" t="s">
        <v>989</v>
      </c>
      <c r="C435" s="1">
        <v>46133</v>
      </c>
      <c r="D435" s="5">
        <v>5.52</v>
      </c>
      <c r="E435" t="s">
        <v>558</v>
      </c>
      <c r="F435" t="s">
        <v>1049</v>
      </c>
      <c r="G435" t="s">
        <v>231</v>
      </c>
      <c r="H435" t="s">
        <v>1053</v>
      </c>
    </row>
    <row r="436" spans="1:8" ht="15" customHeight="1" x14ac:dyDescent="0.25">
      <c r="A436" t="s">
        <v>1054</v>
      </c>
      <c r="B436" t="s">
        <v>1055</v>
      </c>
      <c r="C436" s="1">
        <v>46133</v>
      </c>
      <c r="D436" s="5">
        <v>22.41</v>
      </c>
      <c r="E436" t="s">
        <v>558</v>
      </c>
      <c r="F436" t="s">
        <v>1049</v>
      </c>
      <c r="G436" t="s">
        <v>117</v>
      </c>
      <c r="H436" t="s">
        <v>1056</v>
      </c>
    </row>
    <row r="437" spans="1:8" ht="15" customHeight="1" x14ac:dyDescent="0.25">
      <c r="A437" t="s">
        <v>1057</v>
      </c>
      <c r="B437" t="s">
        <v>1058</v>
      </c>
      <c r="C437" s="1">
        <v>46133</v>
      </c>
      <c r="D437" s="5">
        <v>31.2</v>
      </c>
      <c r="E437" t="s">
        <v>558</v>
      </c>
      <c r="F437" t="s">
        <v>1049</v>
      </c>
      <c r="G437" t="s">
        <v>135</v>
      </c>
      <c r="H437" t="s">
        <v>1059</v>
      </c>
    </row>
    <row r="438" spans="1:8" ht="15" customHeight="1" x14ac:dyDescent="0.25">
      <c r="A438" t="s">
        <v>428</v>
      </c>
      <c r="B438" t="s">
        <v>429</v>
      </c>
      <c r="C438" s="1">
        <v>46133</v>
      </c>
      <c r="D438" s="5">
        <v>22.41</v>
      </c>
      <c r="E438" t="s">
        <v>558</v>
      </c>
      <c r="F438" t="s">
        <v>1049</v>
      </c>
      <c r="G438" t="s">
        <v>644</v>
      </c>
      <c r="H438" t="s">
        <v>1060</v>
      </c>
    </row>
    <row r="439" spans="1:8" ht="15" customHeight="1" x14ac:dyDescent="0.25">
      <c r="A439" t="s">
        <v>810</v>
      </c>
      <c r="B439" t="s">
        <v>811</v>
      </c>
      <c r="C439" s="1">
        <v>46133</v>
      </c>
      <c r="D439" s="5">
        <v>5.52</v>
      </c>
      <c r="E439" t="s">
        <v>558</v>
      </c>
      <c r="F439" t="s">
        <v>1049</v>
      </c>
      <c r="G439" t="s">
        <v>264</v>
      </c>
      <c r="H439" t="s">
        <v>1061</v>
      </c>
    </row>
    <row r="440" spans="1:8" ht="15" customHeight="1" x14ac:dyDescent="0.25">
      <c r="A440" t="s">
        <v>669</v>
      </c>
      <c r="B440" t="s">
        <v>670</v>
      </c>
      <c r="C440" s="1">
        <v>46133</v>
      </c>
      <c r="D440" s="5">
        <v>5.52</v>
      </c>
      <c r="E440" t="s">
        <v>558</v>
      </c>
      <c r="F440" t="s">
        <v>1049</v>
      </c>
      <c r="G440" t="s">
        <v>292</v>
      </c>
      <c r="H440" t="s">
        <v>1062</v>
      </c>
    </row>
    <row r="441" spans="1:8" ht="15" customHeight="1" x14ac:dyDescent="0.25">
      <c r="A441" t="s">
        <v>1063</v>
      </c>
      <c r="B441" t="s">
        <v>1064</v>
      </c>
      <c r="C441" s="1">
        <v>46133</v>
      </c>
      <c r="D441" s="5">
        <v>5.52</v>
      </c>
      <c r="E441" t="s">
        <v>558</v>
      </c>
      <c r="F441" t="s">
        <v>1049</v>
      </c>
      <c r="G441" t="s">
        <v>292</v>
      </c>
      <c r="H441" t="s">
        <v>1065</v>
      </c>
    </row>
    <row r="442" spans="1:8" ht="15" customHeight="1" x14ac:dyDescent="0.25">
      <c r="A442" t="s">
        <v>1066</v>
      </c>
      <c r="B442" t="s">
        <v>1067</v>
      </c>
      <c r="C442" s="1">
        <v>46133</v>
      </c>
      <c r="D442" s="5">
        <v>120.99</v>
      </c>
      <c r="E442" t="s">
        <v>558</v>
      </c>
      <c r="F442" t="s">
        <v>1049</v>
      </c>
      <c r="G442" t="s">
        <v>292</v>
      </c>
      <c r="H442" t="s">
        <v>1068</v>
      </c>
    </row>
    <row r="443" spans="1:8" ht="15" customHeight="1" x14ac:dyDescent="0.25">
      <c r="A443" t="s">
        <v>1069</v>
      </c>
      <c r="B443" t="s">
        <v>1070</v>
      </c>
      <c r="C443" s="1">
        <v>46134</v>
      </c>
      <c r="D443" s="5">
        <v>87</v>
      </c>
      <c r="E443" t="s">
        <v>558</v>
      </c>
      <c r="F443" t="s">
        <v>1049</v>
      </c>
      <c r="G443" t="s">
        <v>314</v>
      </c>
      <c r="H443" t="s">
        <v>1071</v>
      </c>
    </row>
    <row r="444" spans="1:8" ht="15" customHeight="1" x14ac:dyDescent="0.25">
      <c r="A444" t="s">
        <v>1072</v>
      </c>
      <c r="B444" t="s">
        <v>157</v>
      </c>
      <c r="C444" s="1">
        <v>46134</v>
      </c>
      <c r="D444" s="5">
        <v>3.86</v>
      </c>
      <c r="E444" t="s">
        <v>558</v>
      </c>
      <c r="F444" t="s">
        <v>1049</v>
      </c>
      <c r="G444" t="s">
        <v>183</v>
      </c>
      <c r="H444" t="s">
        <v>1073</v>
      </c>
    </row>
    <row r="445" spans="1:8" ht="15" customHeight="1" x14ac:dyDescent="0.25">
      <c r="A445" t="s">
        <v>415</v>
      </c>
      <c r="B445" t="s">
        <v>1074</v>
      </c>
      <c r="C445" s="1">
        <v>46134</v>
      </c>
      <c r="D445" s="5">
        <v>3.68</v>
      </c>
      <c r="E445" t="s">
        <v>558</v>
      </c>
      <c r="F445" t="s">
        <v>1049</v>
      </c>
      <c r="G445" t="s">
        <v>1075</v>
      </c>
      <c r="H445" t="s">
        <v>1076</v>
      </c>
    </row>
    <row r="446" spans="1:8" ht="15" customHeight="1" x14ac:dyDescent="0.25">
      <c r="A446" t="s">
        <v>792</v>
      </c>
      <c r="B446" t="s">
        <v>793</v>
      </c>
      <c r="C446" s="1">
        <v>46134</v>
      </c>
      <c r="D446" s="5">
        <v>3.68</v>
      </c>
      <c r="E446" t="s">
        <v>558</v>
      </c>
      <c r="F446" t="s">
        <v>1049</v>
      </c>
      <c r="G446" t="s">
        <v>1075</v>
      </c>
      <c r="H446" t="s">
        <v>1077</v>
      </c>
    </row>
    <row r="447" spans="1:8" ht="15" customHeight="1" x14ac:dyDescent="0.25">
      <c r="A447" t="s">
        <v>549</v>
      </c>
      <c r="B447" t="s">
        <v>550</v>
      </c>
      <c r="C447" s="1">
        <v>46134</v>
      </c>
      <c r="D447" s="5">
        <v>3.68</v>
      </c>
      <c r="E447" t="s">
        <v>558</v>
      </c>
      <c r="F447" t="s">
        <v>1049</v>
      </c>
      <c r="G447" t="s">
        <v>183</v>
      </c>
      <c r="H447" t="s">
        <v>1078</v>
      </c>
    </row>
    <row r="448" spans="1:8" ht="15" customHeight="1" x14ac:dyDescent="0.25">
      <c r="A448" t="s">
        <v>1079</v>
      </c>
      <c r="B448" t="s">
        <v>1080</v>
      </c>
      <c r="C448" s="1">
        <v>46134</v>
      </c>
      <c r="D448" s="5">
        <v>52.2</v>
      </c>
      <c r="E448" t="s">
        <v>558</v>
      </c>
      <c r="F448" t="s">
        <v>1049</v>
      </c>
      <c r="G448" t="s">
        <v>117</v>
      </c>
      <c r="H448" t="s">
        <v>1081</v>
      </c>
    </row>
    <row r="449" spans="1:8" ht="15" customHeight="1" x14ac:dyDescent="0.25">
      <c r="A449" t="s">
        <v>133</v>
      </c>
      <c r="B449" t="s">
        <v>134</v>
      </c>
      <c r="C449" s="1">
        <v>46134</v>
      </c>
      <c r="D449" s="5">
        <v>124.77</v>
      </c>
      <c r="E449" t="s">
        <v>558</v>
      </c>
      <c r="F449" t="s">
        <v>1049</v>
      </c>
      <c r="G449" t="s">
        <v>222</v>
      </c>
      <c r="H449" t="s">
        <v>1082</v>
      </c>
    </row>
    <row r="450" spans="1:8" ht="15" customHeight="1" x14ac:dyDescent="0.25">
      <c r="A450" t="s">
        <v>1083</v>
      </c>
      <c r="B450" t="s">
        <v>1084</v>
      </c>
      <c r="C450" s="1">
        <v>46134</v>
      </c>
      <c r="D450" s="5">
        <v>31.2</v>
      </c>
      <c r="E450" t="s">
        <v>558</v>
      </c>
      <c r="F450" t="s">
        <v>1049</v>
      </c>
      <c r="G450" t="s">
        <v>1085</v>
      </c>
      <c r="H450" t="s">
        <v>1086</v>
      </c>
    </row>
    <row r="451" spans="1:8" ht="15" customHeight="1" x14ac:dyDescent="0.25">
      <c r="A451" t="s">
        <v>1087</v>
      </c>
      <c r="B451" t="s">
        <v>1088</v>
      </c>
      <c r="C451" s="1">
        <v>46134</v>
      </c>
      <c r="D451" s="5">
        <v>47.31</v>
      </c>
      <c r="E451" t="s">
        <v>558</v>
      </c>
      <c r="F451" t="s">
        <v>1049</v>
      </c>
      <c r="G451" t="s">
        <v>296</v>
      </c>
      <c r="H451" t="s">
        <v>1089</v>
      </c>
    </row>
    <row r="452" spans="1:8" ht="15" customHeight="1" x14ac:dyDescent="0.25">
      <c r="A452" t="s">
        <v>1090</v>
      </c>
      <c r="B452" t="s">
        <v>1091</v>
      </c>
      <c r="C452" s="1">
        <v>46134</v>
      </c>
      <c r="D452" s="5">
        <v>25.68</v>
      </c>
      <c r="E452" t="s">
        <v>558</v>
      </c>
      <c r="F452" t="s">
        <v>1049</v>
      </c>
      <c r="G452" t="s">
        <v>239</v>
      </c>
      <c r="H452" t="s">
        <v>1092</v>
      </c>
    </row>
    <row r="453" spans="1:8" ht="15" customHeight="1" x14ac:dyDescent="0.25">
      <c r="A453" t="s">
        <v>1093</v>
      </c>
      <c r="B453" t="s">
        <v>1094</v>
      </c>
      <c r="C453" s="1">
        <v>46134</v>
      </c>
      <c r="D453" s="5">
        <v>51.36</v>
      </c>
      <c r="E453" t="s">
        <v>558</v>
      </c>
      <c r="F453" t="s">
        <v>1049</v>
      </c>
      <c r="G453" t="s">
        <v>222</v>
      </c>
      <c r="H453" t="s">
        <v>1095</v>
      </c>
    </row>
    <row r="454" spans="1:8" ht="15" customHeight="1" x14ac:dyDescent="0.25">
      <c r="A454" t="s">
        <v>1096</v>
      </c>
      <c r="B454" t="s">
        <v>1097</v>
      </c>
      <c r="C454" s="1">
        <v>46134</v>
      </c>
      <c r="D454" s="5">
        <v>124.67</v>
      </c>
      <c r="E454" t="s">
        <v>558</v>
      </c>
      <c r="F454" t="s">
        <v>1049</v>
      </c>
      <c r="G454" t="s">
        <v>264</v>
      </c>
      <c r="H454" t="s">
        <v>1098</v>
      </c>
    </row>
    <row r="455" spans="1:8" ht="15" customHeight="1" x14ac:dyDescent="0.25">
      <c r="A455" t="s">
        <v>171</v>
      </c>
      <c r="B455" t="s">
        <v>172</v>
      </c>
      <c r="C455" s="1">
        <v>46134</v>
      </c>
      <c r="D455" s="5">
        <v>3.86</v>
      </c>
      <c r="E455" t="s">
        <v>558</v>
      </c>
      <c r="F455" t="s">
        <v>1049</v>
      </c>
      <c r="G455" t="s">
        <v>148</v>
      </c>
      <c r="H455" t="s">
        <v>1099</v>
      </c>
    </row>
    <row r="456" spans="1:8" ht="15" customHeight="1" x14ac:dyDescent="0.25">
      <c r="A456" t="s">
        <v>1100</v>
      </c>
      <c r="B456" t="s">
        <v>808</v>
      </c>
      <c r="C456" s="1">
        <v>46134</v>
      </c>
      <c r="D456" s="5">
        <v>5.52</v>
      </c>
      <c r="E456" t="s">
        <v>558</v>
      </c>
      <c r="F456" t="s">
        <v>1049</v>
      </c>
      <c r="G456" t="s">
        <v>260</v>
      </c>
      <c r="H456" t="s">
        <v>1101</v>
      </c>
    </row>
    <row r="457" spans="1:8" ht="15" customHeight="1" x14ac:dyDescent="0.25">
      <c r="A457" t="s">
        <v>1102</v>
      </c>
      <c r="B457" t="s">
        <v>1103</v>
      </c>
      <c r="C457" s="1">
        <v>46135</v>
      </c>
      <c r="D457" s="5">
        <v>3.68</v>
      </c>
      <c r="E457" t="s">
        <v>558</v>
      </c>
      <c r="F457" t="s">
        <v>1049</v>
      </c>
      <c r="G457" t="s">
        <v>309</v>
      </c>
      <c r="H457" t="s">
        <v>1104</v>
      </c>
    </row>
    <row r="458" spans="1:8" ht="15" customHeight="1" x14ac:dyDescent="0.25">
      <c r="A458" t="s">
        <v>1105</v>
      </c>
      <c r="B458" t="s">
        <v>1106</v>
      </c>
      <c r="C458" s="1">
        <v>46135</v>
      </c>
      <c r="D458" s="5">
        <v>146.66999999999999</v>
      </c>
      <c r="E458" t="s">
        <v>558</v>
      </c>
      <c r="F458" t="s">
        <v>1049</v>
      </c>
      <c r="G458" t="s">
        <v>222</v>
      </c>
      <c r="H458" t="s">
        <v>1107</v>
      </c>
    </row>
    <row r="459" spans="1:8" ht="15" customHeight="1" x14ac:dyDescent="0.25">
      <c r="A459" t="s">
        <v>1108</v>
      </c>
      <c r="B459" t="s">
        <v>1109</v>
      </c>
      <c r="C459" s="1">
        <v>46135</v>
      </c>
      <c r="D459" s="5">
        <v>38.520000000000003</v>
      </c>
      <c r="E459" t="s">
        <v>558</v>
      </c>
      <c r="F459" t="s">
        <v>1049</v>
      </c>
      <c r="G459" t="s">
        <v>222</v>
      </c>
      <c r="H459" t="s">
        <v>1110</v>
      </c>
    </row>
    <row r="460" spans="1:8" ht="15" customHeight="1" x14ac:dyDescent="0.25">
      <c r="A460" t="s">
        <v>730</v>
      </c>
      <c r="B460" t="s">
        <v>1111</v>
      </c>
      <c r="C460" s="1">
        <v>46135</v>
      </c>
      <c r="D460" s="5">
        <v>146.66999999999999</v>
      </c>
      <c r="E460" t="s">
        <v>558</v>
      </c>
      <c r="F460" t="s">
        <v>1049</v>
      </c>
      <c r="G460" t="s">
        <v>222</v>
      </c>
      <c r="H460" t="s">
        <v>1112</v>
      </c>
    </row>
    <row r="461" spans="1:8" ht="15" customHeight="1" x14ac:dyDescent="0.25">
      <c r="A461" t="s">
        <v>1113</v>
      </c>
      <c r="B461" t="s">
        <v>1114</v>
      </c>
      <c r="C461" s="1">
        <v>46135</v>
      </c>
      <c r="D461" s="5">
        <v>146.66999999999999</v>
      </c>
      <c r="E461" t="s">
        <v>558</v>
      </c>
      <c r="F461" t="s">
        <v>1049</v>
      </c>
      <c r="G461" t="s">
        <v>222</v>
      </c>
      <c r="H461" t="s">
        <v>1115</v>
      </c>
    </row>
    <row r="462" spans="1:8" ht="15" customHeight="1" x14ac:dyDescent="0.25">
      <c r="A462" t="s">
        <v>1116</v>
      </c>
      <c r="B462" t="s">
        <v>1117</v>
      </c>
      <c r="C462" s="1">
        <v>46135</v>
      </c>
      <c r="D462" s="5">
        <v>146.66999999999999</v>
      </c>
      <c r="E462" t="s">
        <v>558</v>
      </c>
      <c r="F462" t="s">
        <v>1049</v>
      </c>
      <c r="G462" t="s">
        <v>222</v>
      </c>
      <c r="H462" t="s">
        <v>1118</v>
      </c>
    </row>
    <row r="463" spans="1:8" ht="15" customHeight="1" x14ac:dyDescent="0.25">
      <c r="A463" t="s">
        <v>143</v>
      </c>
      <c r="B463" t="s">
        <v>144</v>
      </c>
      <c r="C463" s="1">
        <v>46135</v>
      </c>
      <c r="D463" s="5">
        <f>1.84*3</f>
        <v>5.5200000000000005</v>
      </c>
      <c r="E463" t="s">
        <v>558</v>
      </c>
      <c r="F463" t="s">
        <v>1049</v>
      </c>
      <c r="G463" t="s">
        <v>222</v>
      </c>
      <c r="H463" t="s">
        <v>1119</v>
      </c>
    </row>
    <row r="464" spans="1:8" ht="15" customHeight="1" x14ac:dyDescent="0.25">
      <c r="A464" t="s">
        <v>471</v>
      </c>
      <c r="B464" t="s">
        <v>472</v>
      </c>
      <c r="C464" s="1">
        <v>46135</v>
      </c>
      <c r="D464" s="5">
        <v>3</v>
      </c>
      <c r="E464" t="s">
        <v>558</v>
      </c>
      <c r="F464" t="s">
        <v>1049</v>
      </c>
      <c r="G464" t="s">
        <v>314</v>
      </c>
      <c r="H464" t="s">
        <v>1120</v>
      </c>
    </row>
    <row r="465" spans="1:8" ht="15" customHeight="1" x14ac:dyDescent="0.25">
      <c r="A465" t="s">
        <v>1121</v>
      </c>
      <c r="B465" t="s">
        <v>1122</v>
      </c>
      <c r="C465" s="1">
        <v>46135</v>
      </c>
      <c r="D465" s="5">
        <v>5.52</v>
      </c>
      <c r="E465" t="s">
        <v>558</v>
      </c>
      <c r="F465" t="s">
        <v>1049</v>
      </c>
      <c r="G465" t="s">
        <v>135</v>
      </c>
      <c r="H465" t="s">
        <v>1123</v>
      </c>
    </row>
    <row r="466" spans="1:8" ht="15" customHeight="1" x14ac:dyDescent="0.25">
      <c r="A466" t="s">
        <v>1124</v>
      </c>
      <c r="B466" t="s">
        <v>1125</v>
      </c>
      <c r="C466" s="1">
        <v>46135</v>
      </c>
      <c r="D466" s="5">
        <f>5.52+120.99</f>
        <v>126.50999999999999</v>
      </c>
      <c r="E466" t="s">
        <v>558</v>
      </c>
      <c r="F466" t="s">
        <v>1049</v>
      </c>
      <c r="G466" t="s">
        <v>222</v>
      </c>
      <c r="H466" t="s">
        <v>1126</v>
      </c>
    </row>
    <row r="467" spans="1:8" ht="15" customHeight="1" x14ac:dyDescent="0.25">
      <c r="A467" t="s">
        <v>1127</v>
      </c>
      <c r="B467" t="s">
        <v>1128</v>
      </c>
      <c r="C467" s="1">
        <v>46135</v>
      </c>
      <c r="D467" s="5">
        <v>3</v>
      </c>
      <c r="E467" t="s">
        <v>558</v>
      </c>
      <c r="F467" t="s">
        <v>1049</v>
      </c>
      <c r="G467" t="s">
        <v>117</v>
      </c>
      <c r="H467" t="s">
        <v>1129</v>
      </c>
    </row>
    <row r="468" spans="1:8" ht="15" customHeight="1" x14ac:dyDescent="0.25">
      <c r="A468" t="s">
        <v>1130</v>
      </c>
      <c r="B468" t="s">
        <v>1131</v>
      </c>
      <c r="C468" s="1">
        <v>46135</v>
      </c>
      <c r="D468" s="5">
        <f>12.84*2+120.99</f>
        <v>146.66999999999999</v>
      </c>
      <c r="E468" t="s">
        <v>558</v>
      </c>
      <c r="F468" t="s">
        <v>1049</v>
      </c>
      <c r="G468" t="s">
        <v>222</v>
      </c>
      <c r="H468" t="s">
        <v>1132</v>
      </c>
    </row>
    <row r="469" spans="1:8" ht="15" customHeight="1" x14ac:dyDescent="0.25">
      <c r="A469" t="s">
        <v>704</v>
      </c>
      <c r="B469" t="s">
        <v>705</v>
      </c>
      <c r="C469" s="1">
        <v>46135</v>
      </c>
      <c r="D469" s="5">
        <v>26</v>
      </c>
      <c r="E469" t="s">
        <v>558</v>
      </c>
      <c r="F469" t="s">
        <v>1049</v>
      </c>
      <c r="G469" t="s">
        <v>222</v>
      </c>
      <c r="H469" t="s">
        <v>1133</v>
      </c>
    </row>
    <row r="470" spans="1:8" ht="15" customHeight="1" x14ac:dyDescent="0.25">
      <c r="A470" t="s">
        <v>1134</v>
      </c>
      <c r="B470" t="s">
        <v>1135</v>
      </c>
      <c r="C470" s="1">
        <v>46135</v>
      </c>
      <c r="D470" s="5">
        <f>17.4*4</f>
        <v>69.599999999999994</v>
      </c>
      <c r="E470" t="s">
        <v>558</v>
      </c>
      <c r="F470" t="s">
        <v>1049</v>
      </c>
      <c r="G470" t="s">
        <v>117</v>
      </c>
      <c r="H470" t="s">
        <v>1136</v>
      </c>
    </row>
    <row r="471" spans="1:8" ht="15" customHeight="1" x14ac:dyDescent="0.25">
      <c r="A471" t="s">
        <v>1137</v>
      </c>
      <c r="B471" t="s">
        <v>1138</v>
      </c>
      <c r="C471" s="1">
        <v>46135</v>
      </c>
      <c r="D471" s="5">
        <f>10.4*4</f>
        <v>41.6</v>
      </c>
      <c r="E471" t="s">
        <v>558</v>
      </c>
      <c r="F471" t="s">
        <v>1049</v>
      </c>
      <c r="G471" t="s">
        <v>292</v>
      </c>
      <c r="H471" t="s">
        <v>1139</v>
      </c>
    </row>
    <row r="472" spans="1:8" ht="15" customHeight="1" x14ac:dyDescent="0.25">
      <c r="A472" t="s">
        <v>1140</v>
      </c>
      <c r="B472" t="s">
        <v>1141</v>
      </c>
      <c r="C472" s="1">
        <v>46135</v>
      </c>
      <c r="D472" s="5">
        <v>146.66999999999999</v>
      </c>
      <c r="E472" t="s">
        <v>558</v>
      </c>
      <c r="F472" t="s">
        <v>1049</v>
      </c>
      <c r="G472" t="s">
        <v>128</v>
      </c>
      <c r="H472" t="s">
        <v>1142</v>
      </c>
    </row>
    <row r="473" spans="1:8" ht="15" customHeight="1" x14ac:dyDescent="0.25">
      <c r="A473" t="s">
        <v>1057</v>
      </c>
      <c r="B473" t="s">
        <v>1058</v>
      </c>
      <c r="C473" s="1">
        <v>46135</v>
      </c>
      <c r="D473" s="5">
        <v>5.52</v>
      </c>
      <c r="E473" t="s">
        <v>558</v>
      </c>
      <c r="F473" t="s">
        <v>1049</v>
      </c>
      <c r="G473" t="s">
        <v>260</v>
      </c>
      <c r="H473" t="s">
        <v>1143</v>
      </c>
    </row>
    <row r="474" spans="1:8" ht="15" customHeight="1" x14ac:dyDescent="0.25">
      <c r="A474" t="s">
        <v>287</v>
      </c>
      <c r="B474" t="s">
        <v>288</v>
      </c>
      <c r="C474" s="1">
        <v>46135</v>
      </c>
      <c r="D474" s="5">
        <f>17.4*3</f>
        <v>52.199999999999996</v>
      </c>
      <c r="E474" t="s">
        <v>558</v>
      </c>
      <c r="F474" t="s">
        <v>1049</v>
      </c>
      <c r="G474" t="s">
        <v>117</v>
      </c>
      <c r="H474" t="s">
        <v>1144</v>
      </c>
    </row>
    <row r="475" spans="1:8" ht="15" customHeight="1" x14ac:dyDescent="0.25">
      <c r="A475" t="s">
        <v>1140</v>
      </c>
      <c r="B475" t="s">
        <v>1141</v>
      </c>
      <c r="C475" s="1">
        <v>46135</v>
      </c>
      <c r="D475" s="5">
        <v>5.52</v>
      </c>
      <c r="E475" t="s">
        <v>558</v>
      </c>
      <c r="F475" t="s">
        <v>1049</v>
      </c>
      <c r="G475" t="s">
        <v>222</v>
      </c>
      <c r="H475" t="s">
        <v>1145</v>
      </c>
    </row>
    <row r="476" spans="1:8" ht="15" customHeight="1" x14ac:dyDescent="0.25">
      <c r="A476" t="s">
        <v>1146</v>
      </c>
      <c r="B476" t="s">
        <v>1147</v>
      </c>
      <c r="C476" s="1">
        <v>46135</v>
      </c>
      <c r="D476" s="5">
        <v>124.67</v>
      </c>
      <c r="E476" t="s">
        <v>558</v>
      </c>
      <c r="F476" t="s">
        <v>1049</v>
      </c>
      <c r="G476" t="s">
        <v>128</v>
      </c>
      <c r="H476" t="s">
        <v>1148</v>
      </c>
    </row>
    <row r="477" spans="1:8" ht="15" customHeight="1" x14ac:dyDescent="0.25">
      <c r="A477" t="s">
        <v>1057</v>
      </c>
      <c r="B477" t="s">
        <v>1058</v>
      </c>
      <c r="C477" s="1">
        <v>46135</v>
      </c>
      <c r="D477" s="5">
        <v>5.52</v>
      </c>
      <c r="E477" t="s">
        <v>558</v>
      </c>
      <c r="F477" t="s">
        <v>1049</v>
      </c>
      <c r="G477" t="s">
        <v>222</v>
      </c>
      <c r="H477" t="s">
        <v>1149</v>
      </c>
    </row>
    <row r="478" spans="1:8" ht="15" customHeight="1" x14ac:dyDescent="0.25">
      <c r="A478" t="s">
        <v>1150</v>
      </c>
      <c r="B478" t="s">
        <v>1151</v>
      </c>
      <c r="C478" s="1">
        <v>46135</v>
      </c>
      <c r="D478" s="5">
        <f>12.84*2+120.99</f>
        <v>146.66999999999999</v>
      </c>
      <c r="E478" t="s">
        <v>558</v>
      </c>
      <c r="F478" t="s">
        <v>1049</v>
      </c>
      <c r="G478" t="s">
        <v>222</v>
      </c>
      <c r="H478" t="s">
        <v>1152</v>
      </c>
    </row>
    <row r="479" spans="1:8" ht="15" customHeight="1" x14ac:dyDescent="0.25">
      <c r="A479" t="s">
        <v>1153</v>
      </c>
      <c r="B479" t="s">
        <v>1154</v>
      </c>
      <c r="C479" s="1">
        <v>46135</v>
      </c>
      <c r="D479" s="5">
        <v>38.520000000000003</v>
      </c>
      <c r="E479" t="s">
        <v>558</v>
      </c>
      <c r="F479" t="s">
        <v>1049</v>
      </c>
      <c r="G479" t="s">
        <v>222</v>
      </c>
      <c r="H479" t="s">
        <v>1155</v>
      </c>
    </row>
    <row r="480" spans="1:8" ht="15" customHeight="1" x14ac:dyDescent="0.25">
      <c r="A480" t="s">
        <v>1156</v>
      </c>
      <c r="B480" t="s">
        <v>1157</v>
      </c>
      <c r="C480" s="1">
        <v>46135</v>
      </c>
      <c r="D480" s="5">
        <f>12.84*2+120.99</f>
        <v>146.66999999999999</v>
      </c>
      <c r="E480" t="s">
        <v>558</v>
      </c>
      <c r="F480" t="s">
        <v>1049</v>
      </c>
      <c r="G480" t="s">
        <v>222</v>
      </c>
      <c r="H480" t="s">
        <v>1158</v>
      </c>
    </row>
    <row r="481" spans="1:8" ht="15" customHeight="1" x14ac:dyDescent="0.25">
      <c r="A481" t="s">
        <v>1159</v>
      </c>
      <c r="B481" t="s">
        <v>108</v>
      </c>
      <c r="C481" s="1">
        <v>46135</v>
      </c>
      <c r="D481" s="5">
        <v>52.2</v>
      </c>
      <c r="E481" t="s">
        <v>558</v>
      </c>
      <c r="F481" t="s">
        <v>1049</v>
      </c>
      <c r="G481" t="s">
        <v>395</v>
      </c>
      <c r="H481" t="s">
        <v>1160</v>
      </c>
    </row>
    <row r="482" spans="1:8" ht="15" customHeight="1" x14ac:dyDescent="0.25">
      <c r="A482" t="s">
        <v>807</v>
      </c>
      <c r="B482" t="s">
        <v>808</v>
      </c>
      <c r="C482" s="1">
        <v>46135</v>
      </c>
      <c r="D482" s="5">
        <v>5.52</v>
      </c>
      <c r="E482" t="s">
        <v>558</v>
      </c>
      <c r="F482" t="s">
        <v>1049</v>
      </c>
      <c r="G482" t="s">
        <v>260</v>
      </c>
      <c r="H482" t="s">
        <v>1161</v>
      </c>
    </row>
    <row r="483" spans="1:8" ht="15" customHeight="1" x14ac:dyDescent="0.25">
      <c r="A483" t="s">
        <v>1162</v>
      </c>
      <c r="B483" t="s">
        <v>1163</v>
      </c>
      <c r="C483" s="1">
        <v>46135</v>
      </c>
      <c r="D483" s="5">
        <v>38.520000000000003</v>
      </c>
      <c r="E483" t="s">
        <v>558</v>
      </c>
      <c r="F483" t="s">
        <v>1049</v>
      </c>
      <c r="G483" t="s">
        <v>222</v>
      </c>
      <c r="H483" t="s">
        <v>1164</v>
      </c>
    </row>
    <row r="484" spans="1:8" ht="15" customHeight="1" x14ac:dyDescent="0.25">
      <c r="A484" t="s">
        <v>1165</v>
      </c>
      <c r="B484" t="s">
        <v>1166</v>
      </c>
      <c r="C484" s="1">
        <v>46135</v>
      </c>
      <c r="D484" s="5">
        <f>12.84*2+120.99</f>
        <v>146.66999999999999</v>
      </c>
      <c r="E484" t="s">
        <v>558</v>
      </c>
      <c r="F484" t="s">
        <v>1049</v>
      </c>
      <c r="G484" t="s">
        <v>222</v>
      </c>
      <c r="H484" t="s">
        <v>1167</v>
      </c>
    </row>
    <row r="485" spans="1:8" ht="15" customHeight="1" x14ac:dyDescent="0.25">
      <c r="A485" t="s">
        <v>1052</v>
      </c>
      <c r="B485" t="s">
        <v>989</v>
      </c>
      <c r="C485" s="1">
        <v>46135</v>
      </c>
      <c r="D485" s="5">
        <v>5.52</v>
      </c>
      <c r="E485" t="s">
        <v>558</v>
      </c>
      <c r="F485" t="s">
        <v>1049</v>
      </c>
      <c r="G485" t="s">
        <v>231</v>
      </c>
      <c r="H485" t="s">
        <v>1168</v>
      </c>
    </row>
    <row r="486" spans="1:8" ht="15" customHeight="1" x14ac:dyDescent="0.25">
      <c r="A486" t="s">
        <v>29</v>
      </c>
      <c r="B486" t="s">
        <v>32</v>
      </c>
      <c r="C486" s="1">
        <v>46135</v>
      </c>
      <c r="D486" s="5">
        <v>5.52</v>
      </c>
      <c r="E486" t="s">
        <v>558</v>
      </c>
      <c r="F486" t="s">
        <v>1049</v>
      </c>
      <c r="G486" t="s">
        <v>231</v>
      </c>
      <c r="H486" t="s">
        <v>1169</v>
      </c>
    </row>
    <row r="487" spans="1:8" ht="15" customHeight="1" x14ac:dyDescent="0.25">
      <c r="A487" t="s">
        <v>1170</v>
      </c>
      <c r="B487" t="s">
        <v>1171</v>
      </c>
      <c r="C487" s="1">
        <v>46135</v>
      </c>
      <c r="D487" s="5">
        <v>146.66999999999999</v>
      </c>
      <c r="E487" t="s">
        <v>558</v>
      </c>
      <c r="F487" t="s">
        <v>1049</v>
      </c>
      <c r="G487" t="s">
        <v>222</v>
      </c>
      <c r="H487" t="s">
        <v>1172</v>
      </c>
    </row>
    <row r="488" spans="1:8" ht="15" customHeight="1" x14ac:dyDescent="0.25">
      <c r="A488" t="s">
        <v>1173</v>
      </c>
      <c r="B488" t="s">
        <v>1174</v>
      </c>
      <c r="C488" s="1">
        <v>46135</v>
      </c>
      <c r="D488" s="5">
        <v>146.66999999999999</v>
      </c>
      <c r="E488" t="s">
        <v>558</v>
      </c>
      <c r="F488" t="s">
        <v>1049</v>
      </c>
      <c r="G488" t="s">
        <v>222</v>
      </c>
      <c r="H488" t="s">
        <v>1175</v>
      </c>
    </row>
    <row r="489" spans="1:8" ht="15" customHeight="1" x14ac:dyDescent="0.25">
      <c r="A489" t="s">
        <v>1176</v>
      </c>
      <c r="B489" t="s">
        <v>1177</v>
      </c>
      <c r="C489" s="1">
        <v>46135</v>
      </c>
      <c r="D489" s="5">
        <v>146.66999999999999</v>
      </c>
      <c r="E489" t="s">
        <v>558</v>
      </c>
      <c r="F489" t="s">
        <v>1049</v>
      </c>
      <c r="G489" t="s">
        <v>222</v>
      </c>
      <c r="H489" t="s">
        <v>1178</v>
      </c>
    </row>
    <row r="490" spans="1:8" ht="15" customHeight="1" x14ac:dyDescent="0.25">
      <c r="A490" t="s">
        <v>1179</v>
      </c>
      <c r="B490" t="s">
        <v>1180</v>
      </c>
      <c r="C490" s="1">
        <v>46135</v>
      </c>
      <c r="D490" s="5">
        <v>146.66999999999999</v>
      </c>
      <c r="E490" t="s">
        <v>558</v>
      </c>
      <c r="F490" t="s">
        <v>1049</v>
      </c>
      <c r="G490" t="s">
        <v>222</v>
      </c>
      <c r="H490" t="s">
        <v>1181</v>
      </c>
    </row>
    <row r="491" spans="1:8" ht="15" customHeight="1" x14ac:dyDescent="0.25">
      <c r="A491" t="s">
        <v>1182</v>
      </c>
      <c r="B491" t="s">
        <v>1183</v>
      </c>
      <c r="C491" s="1">
        <v>46135</v>
      </c>
      <c r="D491" s="5">
        <v>146.66999999999999</v>
      </c>
      <c r="E491" t="s">
        <v>558</v>
      </c>
      <c r="F491" t="s">
        <v>1049</v>
      </c>
      <c r="G491" t="s">
        <v>222</v>
      </c>
      <c r="H491" t="s">
        <v>1184</v>
      </c>
    </row>
    <row r="492" spans="1:8" ht="15" customHeight="1" x14ac:dyDescent="0.25">
      <c r="A492" t="s">
        <v>1185</v>
      </c>
      <c r="B492" t="s">
        <v>1186</v>
      </c>
      <c r="C492" s="1">
        <v>46135</v>
      </c>
      <c r="D492" s="5">
        <v>146.66999999999999</v>
      </c>
      <c r="E492" t="s">
        <v>558</v>
      </c>
      <c r="F492" t="s">
        <v>1049</v>
      </c>
      <c r="G492" t="s">
        <v>222</v>
      </c>
      <c r="H492" t="s">
        <v>1187</v>
      </c>
    </row>
    <row r="493" spans="1:8" ht="15" customHeight="1" x14ac:dyDescent="0.25">
      <c r="A493" t="s">
        <v>1188</v>
      </c>
      <c r="B493" t="s">
        <v>1189</v>
      </c>
      <c r="C493" s="1">
        <v>46135</v>
      </c>
      <c r="D493" s="5">
        <v>38.520000000000003</v>
      </c>
      <c r="E493" t="s">
        <v>558</v>
      </c>
      <c r="F493" t="s">
        <v>1049</v>
      </c>
      <c r="G493" t="s">
        <v>222</v>
      </c>
      <c r="H493" t="s">
        <v>1190</v>
      </c>
    </row>
    <row r="494" spans="1:8" ht="15" customHeight="1" x14ac:dyDescent="0.25">
      <c r="A494" t="s">
        <v>1179</v>
      </c>
      <c r="B494" t="s">
        <v>1180</v>
      </c>
      <c r="C494" s="1">
        <v>46135</v>
      </c>
      <c r="D494" s="5">
        <v>89.64</v>
      </c>
      <c r="E494" t="s">
        <v>558</v>
      </c>
      <c r="F494" t="s">
        <v>1049</v>
      </c>
      <c r="G494" t="s">
        <v>148</v>
      </c>
      <c r="H494" t="s">
        <v>1191</v>
      </c>
    </row>
    <row r="495" spans="1:8" ht="15" customHeight="1" x14ac:dyDescent="0.25">
      <c r="A495" t="s">
        <v>1192</v>
      </c>
      <c r="B495" t="s">
        <v>1193</v>
      </c>
      <c r="C495" s="1">
        <v>46135</v>
      </c>
      <c r="D495" s="5">
        <v>124.67</v>
      </c>
      <c r="E495" t="s">
        <v>558</v>
      </c>
      <c r="F495" t="s">
        <v>1049</v>
      </c>
      <c r="G495" t="s">
        <v>222</v>
      </c>
      <c r="H495" t="s">
        <v>1194</v>
      </c>
    </row>
    <row r="496" spans="1:8" ht="15" customHeight="1" x14ac:dyDescent="0.25">
      <c r="A496" t="s">
        <v>1195</v>
      </c>
      <c r="B496" t="s">
        <v>1196</v>
      </c>
      <c r="C496" s="1">
        <v>46135</v>
      </c>
      <c r="D496" s="5">
        <v>146.66999999999999</v>
      </c>
      <c r="E496" t="s">
        <v>558</v>
      </c>
      <c r="F496" t="s">
        <v>1049</v>
      </c>
      <c r="G496" t="s">
        <v>222</v>
      </c>
      <c r="H496" t="s">
        <v>1197</v>
      </c>
    </row>
    <row r="497" spans="1:8" ht="15" customHeight="1" x14ac:dyDescent="0.25">
      <c r="A497" t="s">
        <v>1198</v>
      </c>
      <c r="B497" t="s">
        <v>1199</v>
      </c>
      <c r="C497" s="1">
        <v>46135</v>
      </c>
      <c r="D497" s="5">
        <v>146.66999999999999</v>
      </c>
      <c r="E497" t="s">
        <v>558</v>
      </c>
      <c r="F497" t="s">
        <v>1049</v>
      </c>
      <c r="G497" t="s">
        <v>222</v>
      </c>
      <c r="H497" t="s">
        <v>1200</v>
      </c>
    </row>
    <row r="498" spans="1:8" ht="15" customHeight="1" x14ac:dyDescent="0.25">
      <c r="A498" t="s">
        <v>1201</v>
      </c>
      <c r="B498" t="s">
        <v>1202</v>
      </c>
      <c r="C498" s="1">
        <v>46135</v>
      </c>
      <c r="D498" s="5">
        <v>146.66999999999999</v>
      </c>
      <c r="E498" t="s">
        <v>558</v>
      </c>
      <c r="F498" t="s">
        <v>1049</v>
      </c>
      <c r="G498" t="s">
        <v>222</v>
      </c>
      <c r="H498" t="s">
        <v>1203</v>
      </c>
    </row>
    <row r="499" spans="1:8" ht="15" customHeight="1" x14ac:dyDescent="0.25">
      <c r="A499" t="s">
        <v>1204</v>
      </c>
      <c r="B499" t="s">
        <v>1205</v>
      </c>
      <c r="C499" s="1">
        <v>46135</v>
      </c>
      <c r="D499" s="5">
        <v>5.52</v>
      </c>
      <c r="E499" t="s">
        <v>558</v>
      </c>
      <c r="F499" t="s">
        <v>1049</v>
      </c>
      <c r="G499" t="s">
        <v>260</v>
      </c>
      <c r="H499" t="s">
        <v>1206</v>
      </c>
    </row>
    <row r="500" spans="1:8" ht="15" customHeight="1" x14ac:dyDescent="0.25">
      <c r="A500" t="s">
        <v>1207</v>
      </c>
      <c r="B500" t="s">
        <v>1208</v>
      </c>
      <c r="C500" s="1">
        <v>46135</v>
      </c>
      <c r="D500" s="5">
        <v>5.52</v>
      </c>
      <c r="E500" t="s">
        <v>558</v>
      </c>
      <c r="F500" t="s">
        <v>1049</v>
      </c>
      <c r="G500" t="s">
        <v>260</v>
      </c>
      <c r="H500" t="s">
        <v>1209</v>
      </c>
    </row>
    <row r="501" spans="1:8" ht="15" customHeight="1" x14ac:dyDescent="0.25">
      <c r="A501" t="s">
        <v>1210</v>
      </c>
      <c r="B501" t="s">
        <v>1211</v>
      </c>
      <c r="C501" s="1">
        <v>46135</v>
      </c>
      <c r="D501" s="5">
        <v>146.66999999999999</v>
      </c>
      <c r="E501" t="s">
        <v>558</v>
      </c>
      <c r="F501" t="s">
        <v>1049</v>
      </c>
      <c r="G501" t="s">
        <v>222</v>
      </c>
      <c r="H501" t="s">
        <v>1212</v>
      </c>
    </row>
    <row r="502" spans="1:8" ht="15" customHeight="1" x14ac:dyDescent="0.25">
      <c r="A502" t="s">
        <v>1213</v>
      </c>
      <c r="B502" t="s">
        <v>1214</v>
      </c>
      <c r="C502" s="1">
        <v>46135</v>
      </c>
      <c r="D502" s="5">
        <v>146.66999999999999</v>
      </c>
      <c r="E502" t="s">
        <v>558</v>
      </c>
      <c r="F502" t="s">
        <v>1049</v>
      </c>
      <c r="G502" t="s">
        <v>260</v>
      </c>
      <c r="H502" t="s">
        <v>1215</v>
      </c>
    </row>
    <row r="503" spans="1:8" ht="15" customHeight="1" x14ac:dyDescent="0.25">
      <c r="A503" t="s">
        <v>1216</v>
      </c>
      <c r="B503" t="s">
        <v>1217</v>
      </c>
      <c r="C503" s="1">
        <v>46136</v>
      </c>
      <c r="D503" s="5">
        <v>3</v>
      </c>
      <c r="E503" t="s">
        <v>558</v>
      </c>
      <c r="F503" t="s">
        <v>1049</v>
      </c>
      <c r="G503" t="s">
        <v>124</v>
      </c>
      <c r="H503" t="s">
        <v>1218</v>
      </c>
    </row>
    <row r="504" spans="1:8" ht="15" customHeight="1" x14ac:dyDescent="0.25">
      <c r="A504" t="s">
        <v>1219</v>
      </c>
      <c r="B504" t="s">
        <v>1220</v>
      </c>
      <c r="C504" s="1">
        <v>46136</v>
      </c>
      <c r="D504" s="5">
        <v>146.66999999999999</v>
      </c>
      <c r="E504" t="s">
        <v>558</v>
      </c>
      <c r="F504" t="s">
        <v>1049</v>
      </c>
      <c r="G504" t="s">
        <v>128</v>
      </c>
      <c r="H504" t="s">
        <v>1221</v>
      </c>
    </row>
    <row r="505" spans="1:8" ht="15" customHeight="1" x14ac:dyDescent="0.25">
      <c r="A505" t="s">
        <v>1222</v>
      </c>
      <c r="B505" t="s">
        <v>1223</v>
      </c>
      <c r="C505" s="1">
        <v>46136</v>
      </c>
      <c r="D505" s="5">
        <v>146.66999999999999</v>
      </c>
      <c r="E505" t="s">
        <v>558</v>
      </c>
      <c r="F505" t="s">
        <v>1049</v>
      </c>
      <c r="G505" t="s">
        <v>128</v>
      </c>
      <c r="H505" t="s">
        <v>1224</v>
      </c>
    </row>
    <row r="506" spans="1:8" ht="15" customHeight="1" x14ac:dyDescent="0.25">
      <c r="A506" t="s">
        <v>1096</v>
      </c>
      <c r="B506" t="s">
        <v>1097</v>
      </c>
      <c r="C506" s="1">
        <v>46136</v>
      </c>
      <c r="D506" s="5">
        <v>3.68</v>
      </c>
      <c r="E506" t="s">
        <v>558</v>
      </c>
      <c r="F506" t="s">
        <v>1049</v>
      </c>
      <c r="G506" t="s">
        <v>264</v>
      </c>
      <c r="H506" t="s">
        <v>1225</v>
      </c>
    </row>
    <row r="507" spans="1:8" ht="15" customHeight="1" x14ac:dyDescent="0.25">
      <c r="A507" t="s">
        <v>1226</v>
      </c>
      <c r="B507" t="s">
        <v>1227</v>
      </c>
      <c r="C507" s="1">
        <v>46136</v>
      </c>
      <c r="D507" s="5">
        <v>37.229999999999997</v>
      </c>
      <c r="E507" t="s">
        <v>558</v>
      </c>
      <c r="F507" t="s">
        <v>1049</v>
      </c>
      <c r="G507" t="s">
        <v>209</v>
      </c>
      <c r="H507" t="s">
        <v>1228</v>
      </c>
    </row>
    <row r="508" spans="1:8" ht="15" customHeight="1" x14ac:dyDescent="0.25">
      <c r="A508" t="s">
        <v>1229</v>
      </c>
      <c r="B508" t="s">
        <v>1230</v>
      </c>
      <c r="C508" s="1">
        <v>46136</v>
      </c>
      <c r="D508" s="5">
        <v>152.53</v>
      </c>
      <c r="E508" t="s">
        <v>558</v>
      </c>
      <c r="F508" t="s">
        <v>1049</v>
      </c>
      <c r="G508" t="s">
        <v>128</v>
      </c>
      <c r="H508" t="s">
        <v>1231</v>
      </c>
    </row>
    <row r="509" spans="1:8" ht="15" customHeight="1" x14ac:dyDescent="0.25">
      <c r="A509" t="s">
        <v>583</v>
      </c>
      <c r="B509" t="s">
        <v>584</v>
      </c>
      <c r="C509" s="1">
        <v>46136</v>
      </c>
      <c r="D509" s="5">
        <v>3</v>
      </c>
      <c r="E509" t="s">
        <v>558</v>
      </c>
      <c r="F509" t="s">
        <v>1049</v>
      </c>
      <c r="G509" t="s">
        <v>117</v>
      </c>
      <c r="H509" t="s">
        <v>1232</v>
      </c>
    </row>
    <row r="510" spans="1:8" ht="15" customHeight="1" x14ac:dyDescent="0.25">
      <c r="A510" t="s">
        <v>447</v>
      </c>
      <c r="B510" t="s">
        <v>448</v>
      </c>
      <c r="C510" s="1">
        <v>46136</v>
      </c>
      <c r="D510" s="5">
        <v>3.68</v>
      </c>
      <c r="E510" t="s">
        <v>558</v>
      </c>
      <c r="F510" t="s">
        <v>1049</v>
      </c>
      <c r="G510" t="s">
        <v>260</v>
      </c>
      <c r="H510" t="s">
        <v>1233</v>
      </c>
    </row>
    <row r="511" spans="1:8" ht="15" customHeight="1" x14ac:dyDescent="0.25">
      <c r="A511" t="s">
        <v>284</v>
      </c>
      <c r="B511" t="s">
        <v>285</v>
      </c>
      <c r="C511" s="1">
        <v>46136</v>
      </c>
      <c r="D511" s="5">
        <v>3</v>
      </c>
      <c r="E511" t="s">
        <v>558</v>
      </c>
      <c r="F511" t="s">
        <v>1049</v>
      </c>
      <c r="G511" t="s">
        <v>117</v>
      </c>
      <c r="H511" t="s">
        <v>1234</v>
      </c>
    </row>
    <row r="512" spans="1:8" ht="15" customHeight="1" x14ac:dyDescent="0.25">
      <c r="A512" t="s">
        <v>146</v>
      </c>
      <c r="B512" t="s">
        <v>147</v>
      </c>
      <c r="C512" s="1">
        <v>46136</v>
      </c>
      <c r="D512" s="5">
        <v>3.86</v>
      </c>
      <c r="E512" t="s">
        <v>558</v>
      </c>
      <c r="F512" t="s">
        <v>1049</v>
      </c>
      <c r="G512" t="s">
        <v>148</v>
      </c>
      <c r="H512" t="s">
        <v>1235</v>
      </c>
    </row>
    <row r="513" spans="1:8" ht="15" customHeight="1" x14ac:dyDescent="0.25">
      <c r="A513" t="s">
        <v>435</v>
      </c>
      <c r="B513" t="s">
        <v>436</v>
      </c>
      <c r="C513" s="1">
        <v>46136</v>
      </c>
      <c r="D513" s="5">
        <v>3</v>
      </c>
      <c r="E513" t="s">
        <v>558</v>
      </c>
      <c r="F513" t="s">
        <v>1049</v>
      </c>
      <c r="G513" t="s">
        <v>117</v>
      </c>
      <c r="H513" t="s">
        <v>1236</v>
      </c>
    </row>
    <row r="514" spans="1:8" ht="15" customHeight="1" x14ac:dyDescent="0.25">
      <c r="A514" t="s">
        <v>1054</v>
      </c>
      <c r="B514" t="s">
        <v>1055</v>
      </c>
      <c r="C514" s="1">
        <v>46136</v>
      </c>
      <c r="D514" s="5">
        <v>3</v>
      </c>
      <c r="E514" t="s">
        <v>558</v>
      </c>
      <c r="F514" t="s">
        <v>1049</v>
      </c>
      <c r="G514" t="s">
        <v>117</v>
      </c>
      <c r="H514" t="s">
        <v>1237</v>
      </c>
    </row>
    <row r="515" spans="1:8" ht="15" customHeight="1" x14ac:dyDescent="0.25">
      <c r="A515" t="s">
        <v>675</v>
      </c>
      <c r="B515" t="s">
        <v>676</v>
      </c>
      <c r="C515" s="1">
        <v>46136</v>
      </c>
      <c r="D515" s="5">
        <v>5.52</v>
      </c>
      <c r="E515" t="s">
        <v>558</v>
      </c>
      <c r="F515" t="s">
        <v>1049</v>
      </c>
      <c r="G515" t="s">
        <v>235</v>
      </c>
      <c r="H515" t="s">
        <v>1238</v>
      </c>
    </row>
    <row r="516" spans="1:8" ht="15" customHeight="1" x14ac:dyDescent="0.25">
      <c r="A516" t="s">
        <v>1239</v>
      </c>
      <c r="B516" t="s">
        <v>1240</v>
      </c>
      <c r="C516" s="1">
        <v>46136</v>
      </c>
      <c r="D516" s="5">
        <v>9</v>
      </c>
      <c r="E516" t="s">
        <v>558</v>
      </c>
      <c r="F516" t="s">
        <v>1049</v>
      </c>
      <c r="G516" t="s">
        <v>128</v>
      </c>
      <c r="H516" t="s">
        <v>1241</v>
      </c>
    </row>
    <row r="517" spans="1:8" ht="15" customHeight="1" x14ac:dyDescent="0.25">
      <c r="A517" t="s">
        <v>1242</v>
      </c>
      <c r="B517" t="s">
        <v>1243</v>
      </c>
      <c r="C517" s="1">
        <v>46136</v>
      </c>
      <c r="D517" s="5">
        <v>31.2</v>
      </c>
      <c r="E517" t="s">
        <v>558</v>
      </c>
      <c r="F517" t="s">
        <v>1049</v>
      </c>
      <c r="G517" t="s">
        <v>124</v>
      </c>
      <c r="H517" t="s">
        <v>1244</v>
      </c>
    </row>
    <row r="518" spans="1:8" ht="15" customHeight="1" x14ac:dyDescent="0.25">
      <c r="A518" t="s">
        <v>1245</v>
      </c>
      <c r="B518" t="s">
        <v>782</v>
      </c>
      <c r="C518" s="1">
        <v>46136</v>
      </c>
      <c r="D518" s="5">
        <f>12.84*3</f>
        <v>38.519999999999996</v>
      </c>
      <c r="E518" t="s">
        <v>558</v>
      </c>
      <c r="F518" t="s">
        <v>1049</v>
      </c>
      <c r="G518" t="s">
        <v>222</v>
      </c>
      <c r="H518" t="s">
        <v>1246</v>
      </c>
    </row>
    <row r="519" spans="1:8" ht="15" customHeight="1" x14ac:dyDescent="0.25">
      <c r="A519" t="s">
        <v>1247</v>
      </c>
      <c r="B519" t="s">
        <v>1248</v>
      </c>
      <c r="C519" s="1">
        <v>46136</v>
      </c>
      <c r="D519" s="5">
        <f>12.84*2+120.99</f>
        <v>146.66999999999999</v>
      </c>
      <c r="E519" t="s">
        <v>558</v>
      </c>
      <c r="F519" t="s">
        <v>1049</v>
      </c>
      <c r="G519" t="s">
        <v>222</v>
      </c>
      <c r="H519" t="s">
        <v>1249</v>
      </c>
    </row>
    <row r="520" spans="1:8" ht="15" customHeight="1" x14ac:dyDescent="0.25">
      <c r="A520" t="s">
        <v>1250</v>
      </c>
      <c r="B520" t="s">
        <v>1251</v>
      </c>
      <c r="C520" s="1">
        <v>46136</v>
      </c>
      <c r="D520" s="5">
        <v>146.66999999999999</v>
      </c>
      <c r="E520" t="s">
        <v>558</v>
      </c>
      <c r="F520" t="s">
        <v>1049</v>
      </c>
      <c r="G520" t="s">
        <v>128</v>
      </c>
      <c r="H520" t="s">
        <v>1252</v>
      </c>
    </row>
    <row r="521" spans="1:8" ht="15" customHeight="1" x14ac:dyDescent="0.25">
      <c r="A521" s="10" t="s">
        <v>952</v>
      </c>
      <c r="B521" t="s">
        <v>953</v>
      </c>
      <c r="C521" s="1">
        <v>46136</v>
      </c>
      <c r="D521" s="5">
        <v>124.67</v>
      </c>
      <c r="E521" t="s">
        <v>558</v>
      </c>
      <c r="F521" t="s">
        <v>1049</v>
      </c>
      <c r="G521" t="s">
        <v>222</v>
      </c>
      <c r="H521" t="s">
        <v>1253</v>
      </c>
    </row>
    <row r="522" spans="1:8" ht="15" customHeight="1" x14ac:dyDescent="0.25">
      <c r="A522" t="s">
        <v>1254</v>
      </c>
      <c r="B522" t="s">
        <v>1255</v>
      </c>
      <c r="C522" s="1">
        <v>46136</v>
      </c>
      <c r="D522" s="5">
        <v>141.79</v>
      </c>
      <c r="E522" t="s">
        <v>558</v>
      </c>
      <c r="F522" t="s">
        <v>1049</v>
      </c>
      <c r="G522" t="s">
        <v>222</v>
      </c>
      <c r="H522" t="s">
        <v>1256</v>
      </c>
    </row>
    <row r="523" spans="1:8" ht="15" customHeight="1" x14ac:dyDescent="0.25">
      <c r="A523" t="s">
        <v>1257</v>
      </c>
      <c r="B523" t="s">
        <v>1258</v>
      </c>
      <c r="C523" s="1">
        <v>46136</v>
      </c>
      <c r="D523" s="5">
        <v>146.66999999999999</v>
      </c>
      <c r="E523" t="s">
        <v>558</v>
      </c>
      <c r="F523" t="s">
        <v>1049</v>
      </c>
      <c r="G523" t="s">
        <v>222</v>
      </c>
      <c r="H523" t="s">
        <v>1259</v>
      </c>
    </row>
    <row r="524" spans="1:8" ht="15" customHeight="1" x14ac:dyDescent="0.25">
      <c r="A524" t="s">
        <v>1260</v>
      </c>
      <c r="B524" t="s">
        <v>1261</v>
      </c>
      <c r="C524" s="1">
        <v>46136</v>
      </c>
      <c r="D524" s="5">
        <v>41.6</v>
      </c>
      <c r="E524" t="s">
        <v>558</v>
      </c>
      <c r="F524" t="s">
        <v>1049</v>
      </c>
      <c r="G524" t="s">
        <v>292</v>
      </c>
      <c r="H524" t="s">
        <v>1262</v>
      </c>
    </row>
    <row r="525" spans="1:8" ht="15" customHeight="1" x14ac:dyDescent="0.25">
      <c r="A525" t="s">
        <v>275</v>
      </c>
      <c r="B525" t="s">
        <v>62</v>
      </c>
      <c r="C525" s="1">
        <v>46136</v>
      </c>
      <c r="D525" s="5">
        <v>3</v>
      </c>
      <c r="E525" t="s">
        <v>558</v>
      </c>
      <c r="F525" t="s">
        <v>1049</v>
      </c>
      <c r="G525" t="s">
        <v>117</v>
      </c>
      <c r="H525" t="s">
        <v>1263</v>
      </c>
    </row>
    <row r="526" spans="1:8" ht="15" customHeight="1" x14ac:dyDescent="0.25">
      <c r="A526" t="s">
        <v>1264</v>
      </c>
      <c r="B526" t="s">
        <v>1265</v>
      </c>
      <c r="C526" s="1">
        <v>46136</v>
      </c>
      <c r="D526" s="5">
        <v>146.66999999999999</v>
      </c>
      <c r="E526" t="s">
        <v>558</v>
      </c>
      <c r="F526" t="s">
        <v>1049</v>
      </c>
      <c r="G526" t="s">
        <v>222</v>
      </c>
      <c r="H526" t="s">
        <v>1266</v>
      </c>
    </row>
    <row r="527" spans="1:8" ht="15" customHeight="1" x14ac:dyDescent="0.25">
      <c r="A527" t="s">
        <v>1267</v>
      </c>
      <c r="B527" t="s">
        <v>404</v>
      </c>
      <c r="C527" s="1">
        <v>46136</v>
      </c>
      <c r="D527" s="5">
        <v>3</v>
      </c>
      <c r="E527" t="s">
        <v>558</v>
      </c>
      <c r="F527" t="s">
        <v>1049</v>
      </c>
      <c r="G527" t="s">
        <v>314</v>
      </c>
      <c r="H527" t="s">
        <v>1268</v>
      </c>
    </row>
    <row r="528" spans="1:8" ht="15" customHeight="1" x14ac:dyDescent="0.25">
      <c r="A528" t="s">
        <v>1269</v>
      </c>
      <c r="B528" t="s">
        <v>1270</v>
      </c>
      <c r="C528" s="1">
        <v>46136</v>
      </c>
      <c r="D528" s="5">
        <v>3</v>
      </c>
      <c r="E528" t="s">
        <v>558</v>
      </c>
      <c r="F528" t="s">
        <v>1049</v>
      </c>
      <c r="G528" t="s">
        <v>117</v>
      </c>
      <c r="H528" t="s">
        <v>1271</v>
      </c>
    </row>
    <row r="529" spans="1:8" ht="15" customHeight="1" x14ac:dyDescent="0.25">
      <c r="A529" t="s">
        <v>1272</v>
      </c>
      <c r="B529" t="s">
        <v>1273</v>
      </c>
      <c r="C529" s="1">
        <v>46136</v>
      </c>
      <c r="D529" s="5">
        <v>142.44999999999999</v>
      </c>
      <c r="E529" t="s">
        <v>558</v>
      </c>
      <c r="F529" t="s">
        <v>1049</v>
      </c>
      <c r="G529" t="s">
        <v>260</v>
      </c>
      <c r="H529" t="s">
        <v>1274</v>
      </c>
    </row>
    <row r="530" spans="1:8" ht="15" customHeight="1" x14ac:dyDescent="0.25">
      <c r="A530" t="s">
        <v>409</v>
      </c>
      <c r="B530" t="s">
        <v>410</v>
      </c>
      <c r="C530" s="1">
        <v>46136</v>
      </c>
      <c r="D530" s="5">
        <v>38.520000000000003</v>
      </c>
      <c r="E530" t="s">
        <v>558</v>
      </c>
      <c r="F530" t="s">
        <v>1049</v>
      </c>
      <c r="G530" t="s">
        <v>128</v>
      </c>
      <c r="H530" t="s">
        <v>1275</v>
      </c>
    </row>
    <row r="531" spans="1:8" ht="15" customHeight="1" x14ac:dyDescent="0.25">
      <c r="A531" t="s">
        <v>1276</v>
      </c>
      <c r="B531" t="s">
        <v>1277</v>
      </c>
      <c r="C531" s="1">
        <v>46136</v>
      </c>
      <c r="D531" s="5">
        <v>146.66999999999999</v>
      </c>
      <c r="E531" t="s">
        <v>558</v>
      </c>
      <c r="F531" t="s">
        <v>1049</v>
      </c>
      <c r="G531" t="s">
        <v>222</v>
      </c>
      <c r="H531" t="s">
        <v>1278</v>
      </c>
    </row>
    <row r="532" spans="1:8" ht="15" customHeight="1" x14ac:dyDescent="0.25">
      <c r="A532" t="s">
        <v>1279</v>
      </c>
      <c r="B532" t="s">
        <v>1280</v>
      </c>
      <c r="C532" s="1">
        <v>46136</v>
      </c>
      <c r="D532" s="5">
        <v>146.66999999999999</v>
      </c>
      <c r="E532" t="s">
        <v>558</v>
      </c>
      <c r="F532" t="s">
        <v>1049</v>
      </c>
      <c r="G532" t="s">
        <v>222</v>
      </c>
      <c r="H532" t="s">
        <v>1281</v>
      </c>
    </row>
    <row r="533" spans="1:8" ht="15" customHeight="1" x14ac:dyDescent="0.25">
      <c r="A533" t="s">
        <v>509</v>
      </c>
      <c r="B533" t="s">
        <v>510</v>
      </c>
      <c r="C533" s="1">
        <v>46136</v>
      </c>
      <c r="D533" s="5">
        <v>5.52</v>
      </c>
      <c r="E533" t="s">
        <v>558</v>
      </c>
      <c r="F533" t="s">
        <v>1049</v>
      </c>
      <c r="G533" t="s">
        <v>231</v>
      </c>
      <c r="H533" t="s">
        <v>1282</v>
      </c>
    </row>
    <row r="534" spans="1:8" ht="15" customHeight="1" x14ac:dyDescent="0.25">
      <c r="A534" t="s">
        <v>1283</v>
      </c>
      <c r="B534" t="s">
        <v>1284</v>
      </c>
      <c r="C534" s="1">
        <v>46136</v>
      </c>
      <c r="D534" s="5">
        <v>146.66999999999999</v>
      </c>
      <c r="E534" t="s">
        <v>558</v>
      </c>
      <c r="F534" t="s">
        <v>1049</v>
      </c>
      <c r="G534" t="s">
        <v>222</v>
      </c>
      <c r="H534" t="s">
        <v>1285</v>
      </c>
    </row>
    <row r="535" spans="1:8" ht="15" customHeight="1" x14ac:dyDescent="0.25">
      <c r="A535" t="s">
        <v>981</v>
      </c>
      <c r="B535" t="s">
        <v>982</v>
      </c>
      <c r="C535" s="1">
        <v>46136</v>
      </c>
      <c r="D535" s="5">
        <v>3</v>
      </c>
      <c r="E535" t="s">
        <v>558</v>
      </c>
      <c r="F535" t="s">
        <v>1049</v>
      </c>
      <c r="G535" t="s">
        <v>124</v>
      </c>
      <c r="H535" t="s">
        <v>1286</v>
      </c>
    </row>
    <row r="536" spans="1:8" ht="15" customHeight="1" x14ac:dyDescent="0.25">
      <c r="A536" t="s">
        <v>1287</v>
      </c>
      <c r="B536" t="s">
        <v>1288</v>
      </c>
      <c r="C536" s="1">
        <v>46136</v>
      </c>
      <c r="D536" s="5">
        <v>38.520000000000003</v>
      </c>
      <c r="E536" t="s">
        <v>558</v>
      </c>
      <c r="F536" t="s">
        <v>1049</v>
      </c>
      <c r="G536" t="s">
        <v>260</v>
      </c>
      <c r="H536" t="s">
        <v>1289</v>
      </c>
    </row>
    <row r="537" spans="1:8" ht="15" customHeight="1" x14ac:dyDescent="0.25">
      <c r="A537" t="s">
        <v>143</v>
      </c>
      <c r="B537" t="s">
        <v>144</v>
      </c>
      <c r="C537" s="1">
        <v>46136</v>
      </c>
      <c r="D537" s="5">
        <v>5.52</v>
      </c>
      <c r="E537" t="s">
        <v>558</v>
      </c>
      <c r="F537" t="s">
        <v>1049</v>
      </c>
      <c r="G537" t="s">
        <v>222</v>
      </c>
      <c r="H537" t="s">
        <v>1290</v>
      </c>
    </row>
    <row r="538" spans="1:8" ht="15" customHeight="1" x14ac:dyDescent="0.25">
      <c r="A538" t="s">
        <v>53</v>
      </c>
      <c r="B538" t="s">
        <v>472</v>
      </c>
      <c r="C538" s="1">
        <v>46137</v>
      </c>
      <c r="D538" s="5">
        <v>22.41</v>
      </c>
      <c r="E538" t="s">
        <v>558</v>
      </c>
      <c r="F538" t="s">
        <v>1049</v>
      </c>
      <c r="G538" t="s">
        <v>124</v>
      </c>
      <c r="H538" t="s">
        <v>1291</v>
      </c>
    </row>
    <row r="539" spans="1:8" ht="15" customHeight="1" x14ac:dyDescent="0.25">
      <c r="A539" t="s">
        <v>1292</v>
      </c>
      <c r="B539" t="s">
        <v>1293</v>
      </c>
      <c r="C539" s="1">
        <v>46137</v>
      </c>
      <c r="D539" s="5">
        <v>120.99</v>
      </c>
      <c r="E539" t="s">
        <v>558</v>
      </c>
      <c r="F539" t="s">
        <v>1049</v>
      </c>
      <c r="G539" t="s">
        <v>124</v>
      </c>
      <c r="H539" t="s">
        <v>1294</v>
      </c>
    </row>
    <row r="540" spans="1:8" ht="15" customHeight="1" x14ac:dyDescent="0.25">
      <c r="A540" t="s">
        <v>1295</v>
      </c>
      <c r="B540" t="s">
        <v>1296</v>
      </c>
      <c r="C540" s="1">
        <v>46137</v>
      </c>
      <c r="D540" s="5">
        <v>22.41</v>
      </c>
      <c r="E540" t="s">
        <v>558</v>
      </c>
      <c r="F540" t="s">
        <v>1049</v>
      </c>
      <c r="G540" t="s">
        <v>183</v>
      </c>
      <c r="H540" t="s">
        <v>1297</v>
      </c>
    </row>
    <row r="541" spans="1:8" ht="15" customHeight="1" x14ac:dyDescent="0.25">
      <c r="A541" t="s">
        <v>1298</v>
      </c>
      <c r="B541" t="s">
        <v>1299</v>
      </c>
      <c r="C541" s="1">
        <v>46137</v>
      </c>
      <c r="D541" s="5">
        <v>22.41</v>
      </c>
      <c r="E541" t="s">
        <v>558</v>
      </c>
      <c r="F541" t="s">
        <v>1049</v>
      </c>
      <c r="G541" t="s">
        <v>183</v>
      </c>
      <c r="H541" t="s">
        <v>1300</v>
      </c>
    </row>
    <row r="542" spans="1:8" ht="15" customHeight="1" x14ac:dyDescent="0.25">
      <c r="A542" t="s">
        <v>44</v>
      </c>
      <c r="B542" t="s">
        <v>123</v>
      </c>
      <c r="C542" s="1">
        <v>46139</v>
      </c>
      <c r="D542" s="5">
        <v>5.52</v>
      </c>
      <c r="E542" t="s">
        <v>558</v>
      </c>
      <c r="F542" t="s">
        <v>1049</v>
      </c>
      <c r="G542" t="s">
        <v>124</v>
      </c>
      <c r="H542" t="s">
        <v>1301</v>
      </c>
    </row>
    <row r="543" spans="1:8" ht="15" customHeight="1" x14ac:dyDescent="0.25">
      <c r="A543" t="s">
        <v>130</v>
      </c>
      <c r="B543" t="s">
        <v>131</v>
      </c>
      <c r="C543" s="1">
        <v>46139</v>
      </c>
      <c r="D543" s="5">
        <v>5.31</v>
      </c>
      <c r="E543" t="s">
        <v>558</v>
      </c>
      <c r="F543" t="s">
        <v>1049</v>
      </c>
      <c r="G543" t="s">
        <v>124</v>
      </c>
      <c r="H543" t="s">
        <v>1302</v>
      </c>
    </row>
    <row r="544" spans="1:8" ht="15" customHeight="1" x14ac:dyDescent="0.25">
      <c r="A544" t="s">
        <v>1019</v>
      </c>
      <c r="B544" t="s">
        <v>1020</v>
      </c>
      <c r="C544" s="1">
        <v>46139</v>
      </c>
      <c r="D544" s="5">
        <v>5.52</v>
      </c>
      <c r="E544" t="s">
        <v>558</v>
      </c>
      <c r="F544" t="s">
        <v>1049</v>
      </c>
      <c r="G544" t="s">
        <v>135</v>
      </c>
      <c r="H544" t="s">
        <v>1303</v>
      </c>
    </row>
    <row r="545" spans="1:8" ht="15" customHeight="1" x14ac:dyDescent="0.25">
      <c r="A545" t="s">
        <v>471</v>
      </c>
      <c r="B545" t="s">
        <v>472</v>
      </c>
      <c r="C545" s="1">
        <v>46139</v>
      </c>
      <c r="D545" s="5">
        <v>87</v>
      </c>
      <c r="E545" t="s">
        <v>558</v>
      </c>
      <c r="F545" t="s">
        <v>1049</v>
      </c>
      <c r="G545" t="s">
        <v>124</v>
      </c>
      <c r="H545" t="s">
        <v>1304</v>
      </c>
    </row>
    <row r="546" spans="1:8" ht="15" customHeight="1" x14ac:dyDescent="0.25">
      <c r="A546" t="s">
        <v>367</v>
      </c>
      <c r="B546" t="s">
        <v>368</v>
      </c>
      <c r="C546" s="1">
        <v>46139</v>
      </c>
      <c r="D546" s="5">
        <v>3.68</v>
      </c>
      <c r="E546" t="s">
        <v>558</v>
      </c>
      <c r="F546" t="s">
        <v>1049</v>
      </c>
      <c r="G546" t="s">
        <v>369</v>
      </c>
      <c r="H546" t="s">
        <v>1305</v>
      </c>
    </row>
    <row r="547" spans="1:8" ht="15" customHeight="1" x14ac:dyDescent="0.25">
      <c r="A547" t="s">
        <v>275</v>
      </c>
      <c r="B547" t="s">
        <v>62</v>
      </c>
      <c r="C547" s="1">
        <v>46139</v>
      </c>
      <c r="D547" s="5">
        <v>3</v>
      </c>
      <c r="E547" t="s">
        <v>558</v>
      </c>
      <c r="F547" t="s">
        <v>1049</v>
      </c>
      <c r="G547" t="s">
        <v>314</v>
      </c>
      <c r="H547" t="s">
        <v>1306</v>
      </c>
    </row>
    <row r="548" spans="1:8" ht="15" customHeight="1" x14ac:dyDescent="0.25">
      <c r="A548" t="s">
        <v>1267</v>
      </c>
      <c r="B548" t="s">
        <v>404</v>
      </c>
      <c r="C548" s="1">
        <v>46139</v>
      </c>
      <c r="D548" s="5">
        <v>3</v>
      </c>
      <c r="E548" t="s">
        <v>558</v>
      </c>
      <c r="F548" t="s">
        <v>1049</v>
      </c>
      <c r="G548" t="s">
        <v>314</v>
      </c>
      <c r="H548" t="s">
        <v>1307</v>
      </c>
    </row>
    <row r="549" spans="1:8" ht="15" customHeight="1" x14ac:dyDescent="0.25">
      <c r="A549" t="s">
        <v>1308</v>
      </c>
      <c r="B549" t="s">
        <v>1309</v>
      </c>
      <c r="C549" s="1">
        <v>46139</v>
      </c>
      <c r="D549" s="5">
        <v>20.8</v>
      </c>
      <c r="E549" t="s">
        <v>558</v>
      </c>
      <c r="F549" t="s">
        <v>1049</v>
      </c>
      <c r="G549" t="s">
        <v>292</v>
      </c>
      <c r="H549" t="s">
        <v>1310</v>
      </c>
    </row>
    <row r="550" spans="1:8" ht="15" customHeight="1" x14ac:dyDescent="0.25">
      <c r="A550" t="s">
        <v>1311</v>
      </c>
      <c r="B550" t="s">
        <v>1312</v>
      </c>
      <c r="C550" s="1">
        <v>46139</v>
      </c>
      <c r="D550" s="5">
        <v>20.8</v>
      </c>
      <c r="E550" t="s">
        <v>558</v>
      </c>
      <c r="F550" t="s">
        <v>1049</v>
      </c>
      <c r="G550" t="s">
        <v>209</v>
      </c>
      <c r="H550" t="s">
        <v>1313</v>
      </c>
    </row>
    <row r="551" spans="1:8" ht="15" customHeight="1" x14ac:dyDescent="0.25">
      <c r="A551" t="s">
        <v>666</v>
      </c>
      <c r="B551" t="s">
        <v>667</v>
      </c>
      <c r="C551" s="1">
        <v>46139</v>
      </c>
      <c r="D551" s="5">
        <v>5.52</v>
      </c>
      <c r="E551" t="s">
        <v>558</v>
      </c>
      <c r="F551" t="s">
        <v>1049</v>
      </c>
      <c r="G551" t="s">
        <v>292</v>
      </c>
      <c r="H551" t="s">
        <v>1314</v>
      </c>
    </row>
    <row r="552" spans="1:8" ht="15" customHeight="1" x14ac:dyDescent="0.25">
      <c r="A552" t="s">
        <v>1315</v>
      </c>
      <c r="B552" t="s">
        <v>1316</v>
      </c>
      <c r="C552" s="1">
        <v>46139</v>
      </c>
      <c r="D552" s="5">
        <v>146.66999999999999</v>
      </c>
      <c r="E552" t="s">
        <v>558</v>
      </c>
      <c r="F552" t="s">
        <v>1049</v>
      </c>
      <c r="G552" t="s">
        <v>121</v>
      </c>
      <c r="H552" t="s">
        <v>1317</v>
      </c>
    </row>
    <row r="553" spans="1:8" ht="15" customHeight="1" x14ac:dyDescent="0.25">
      <c r="A553" t="s">
        <v>1269</v>
      </c>
      <c r="B553" t="s">
        <v>1270</v>
      </c>
      <c r="C553" s="1">
        <v>46139</v>
      </c>
      <c r="D553" s="5">
        <v>69.599999999999994</v>
      </c>
      <c r="E553" t="s">
        <v>558</v>
      </c>
      <c r="F553" t="s">
        <v>1049</v>
      </c>
      <c r="G553" t="s">
        <v>124</v>
      </c>
      <c r="H553" t="s">
        <v>1318</v>
      </c>
    </row>
    <row r="554" spans="1:8" ht="15" customHeight="1" x14ac:dyDescent="0.25">
      <c r="A554" t="s">
        <v>1319</v>
      </c>
      <c r="B554" t="s">
        <v>1320</v>
      </c>
      <c r="C554" s="1">
        <v>46139</v>
      </c>
      <c r="D554" s="5">
        <v>146.66999999999999</v>
      </c>
      <c r="E554" t="s">
        <v>558</v>
      </c>
      <c r="F554" t="s">
        <v>1049</v>
      </c>
      <c r="G554" t="s">
        <v>128</v>
      </c>
      <c r="H554" t="s">
        <v>1321</v>
      </c>
    </row>
    <row r="555" spans="1:8" ht="15" customHeight="1" x14ac:dyDescent="0.25">
      <c r="A555" t="s">
        <v>621</v>
      </c>
      <c r="B555" t="s">
        <v>59</v>
      </c>
      <c r="C555" s="1">
        <v>46139</v>
      </c>
      <c r="D555" s="5">
        <v>5.52</v>
      </c>
      <c r="E555" t="s">
        <v>558</v>
      </c>
      <c r="F555" t="s">
        <v>1049</v>
      </c>
      <c r="G555" t="s">
        <v>128</v>
      </c>
      <c r="H555" t="s">
        <v>1322</v>
      </c>
    </row>
    <row r="556" spans="1:8" ht="15" customHeight="1" x14ac:dyDescent="0.25">
      <c r="A556" t="s">
        <v>1239</v>
      </c>
      <c r="B556" t="s">
        <v>1240</v>
      </c>
      <c r="C556" s="1">
        <v>46139</v>
      </c>
      <c r="D556" s="5">
        <v>26</v>
      </c>
      <c r="E556" t="s">
        <v>558</v>
      </c>
      <c r="F556" t="s">
        <v>1049</v>
      </c>
      <c r="G556" t="s">
        <v>128</v>
      </c>
      <c r="H556" t="s">
        <v>1323</v>
      </c>
    </row>
    <row r="557" spans="1:8" ht="15" customHeight="1" x14ac:dyDescent="0.25">
      <c r="A557" t="s">
        <v>385</v>
      </c>
      <c r="B557" t="s">
        <v>386</v>
      </c>
      <c r="C557" s="1">
        <v>46139</v>
      </c>
      <c r="D557" s="5">
        <v>26</v>
      </c>
      <c r="E557" t="s">
        <v>558</v>
      </c>
      <c r="F557" t="s">
        <v>1049</v>
      </c>
      <c r="G557" t="s">
        <v>128</v>
      </c>
      <c r="H557" t="s">
        <v>1324</v>
      </c>
    </row>
    <row r="558" spans="1:8" ht="15" customHeight="1" x14ac:dyDescent="0.25">
      <c r="A558" t="s">
        <v>825</v>
      </c>
      <c r="B558" t="s">
        <v>826</v>
      </c>
      <c r="C558" s="1">
        <v>46139</v>
      </c>
      <c r="D558" s="5">
        <v>26</v>
      </c>
      <c r="E558" t="s">
        <v>558</v>
      </c>
      <c r="F558" t="s">
        <v>1049</v>
      </c>
      <c r="G558" t="s">
        <v>128</v>
      </c>
      <c r="H558" t="s">
        <v>1325</v>
      </c>
    </row>
    <row r="559" spans="1:8" ht="15" customHeight="1" x14ac:dyDescent="0.25">
      <c r="A559" t="s">
        <v>1326</v>
      </c>
      <c r="B559" t="s">
        <v>1327</v>
      </c>
      <c r="C559" s="1">
        <v>46139</v>
      </c>
      <c r="D559" s="5">
        <f>12.84*3</f>
        <v>38.519999999999996</v>
      </c>
      <c r="E559" t="s">
        <v>558</v>
      </c>
      <c r="F559" t="s">
        <v>1049</v>
      </c>
      <c r="G559" t="s">
        <v>222</v>
      </c>
      <c r="H559" t="s">
        <v>1328</v>
      </c>
    </row>
    <row r="560" spans="1:8" ht="15" customHeight="1" x14ac:dyDescent="0.25">
      <c r="A560" t="s">
        <v>1329</v>
      </c>
      <c r="B560" t="s">
        <v>1330</v>
      </c>
      <c r="C560" s="1">
        <v>46139</v>
      </c>
      <c r="D560" s="5">
        <f>12.84*2+120.99</f>
        <v>146.66999999999999</v>
      </c>
      <c r="E560" t="s">
        <v>558</v>
      </c>
      <c r="F560" t="s">
        <v>1049</v>
      </c>
      <c r="G560" t="s">
        <v>222</v>
      </c>
      <c r="H560" t="s">
        <v>1331</v>
      </c>
    </row>
    <row r="561" spans="1:8" ht="15" customHeight="1" x14ac:dyDescent="0.25">
      <c r="A561" t="s">
        <v>415</v>
      </c>
      <c r="B561" t="s">
        <v>416</v>
      </c>
      <c r="C561" s="1">
        <v>46139</v>
      </c>
      <c r="D561" s="5">
        <f>1.84*2</f>
        <v>3.68</v>
      </c>
      <c r="E561" t="s">
        <v>558</v>
      </c>
      <c r="F561" t="s">
        <v>1049</v>
      </c>
      <c r="G561" t="s">
        <v>1026</v>
      </c>
      <c r="H561" t="s">
        <v>1332</v>
      </c>
    </row>
    <row r="562" spans="1:8" ht="15" customHeight="1" x14ac:dyDescent="0.25">
      <c r="A562" t="s">
        <v>1333</v>
      </c>
      <c r="B562" t="s">
        <v>1334</v>
      </c>
      <c r="C562" s="1">
        <v>46139</v>
      </c>
      <c r="D562" s="5">
        <f>10.4*3</f>
        <v>31.200000000000003</v>
      </c>
      <c r="E562" t="s">
        <v>558</v>
      </c>
      <c r="F562" t="s">
        <v>1049</v>
      </c>
      <c r="G562" t="s">
        <v>292</v>
      </c>
      <c r="H562" t="s">
        <v>1335</v>
      </c>
    </row>
    <row r="563" spans="1:8" ht="15" customHeight="1" x14ac:dyDescent="0.25">
      <c r="A563" t="s">
        <v>675</v>
      </c>
      <c r="B563" t="s">
        <v>676</v>
      </c>
      <c r="C563" s="1">
        <v>46139</v>
      </c>
      <c r="D563" s="5">
        <f>1.84*3</f>
        <v>5.5200000000000005</v>
      </c>
      <c r="E563" t="s">
        <v>558</v>
      </c>
      <c r="F563" t="s">
        <v>1049</v>
      </c>
      <c r="G563" t="s">
        <v>235</v>
      </c>
      <c r="H563" t="s">
        <v>1336</v>
      </c>
    </row>
    <row r="564" spans="1:8" ht="15" customHeight="1" x14ac:dyDescent="0.25">
      <c r="A564" t="s">
        <v>29</v>
      </c>
      <c r="B564" t="s">
        <v>32</v>
      </c>
      <c r="C564" s="1">
        <v>46139</v>
      </c>
      <c r="D564" s="5">
        <v>5.52</v>
      </c>
      <c r="E564" t="s">
        <v>558</v>
      </c>
      <c r="F564" t="s">
        <v>1049</v>
      </c>
      <c r="G564" t="s">
        <v>231</v>
      </c>
      <c r="H564" t="s">
        <v>1337</v>
      </c>
    </row>
    <row r="565" spans="1:8" ht="15" customHeight="1" x14ac:dyDescent="0.25">
      <c r="A565" t="s">
        <v>509</v>
      </c>
      <c r="B565" t="s">
        <v>510</v>
      </c>
      <c r="C565" s="1">
        <v>46139</v>
      </c>
      <c r="D565" s="5">
        <v>5.52</v>
      </c>
      <c r="E565" t="s">
        <v>558</v>
      </c>
      <c r="F565" t="s">
        <v>1049</v>
      </c>
      <c r="G565" t="s">
        <v>231</v>
      </c>
      <c r="H565" t="s">
        <v>1338</v>
      </c>
    </row>
    <row r="566" spans="1:8" ht="15" customHeight="1" x14ac:dyDescent="0.25">
      <c r="A566" t="s">
        <v>1339</v>
      </c>
      <c r="B566" t="s">
        <v>1340</v>
      </c>
      <c r="C566" s="1">
        <v>46139</v>
      </c>
      <c r="D566" s="5">
        <v>159.51</v>
      </c>
      <c r="E566" t="s">
        <v>558</v>
      </c>
      <c r="F566" t="s">
        <v>1049</v>
      </c>
      <c r="G566" t="s">
        <v>128</v>
      </c>
      <c r="H566" t="s">
        <v>1341</v>
      </c>
    </row>
    <row r="567" spans="1:8" ht="15" customHeight="1" x14ac:dyDescent="0.25">
      <c r="A567" t="s">
        <v>1342</v>
      </c>
      <c r="B567" t="s">
        <v>1343</v>
      </c>
      <c r="C567" s="1">
        <v>46139</v>
      </c>
      <c r="D567" s="5">
        <v>146.66999999999999</v>
      </c>
      <c r="E567" t="s">
        <v>558</v>
      </c>
      <c r="F567" t="s">
        <v>1049</v>
      </c>
      <c r="G567" t="s">
        <v>128</v>
      </c>
      <c r="H567" t="s">
        <v>1344</v>
      </c>
    </row>
    <row r="568" spans="1:8" ht="15" customHeight="1" x14ac:dyDescent="0.25">
      <c r="A568" t="s">
        <v>1345</v>
      </c>
      <c r="B568" t="s">
        <v>1346</v>
      </c>
      <c r="C568" s="1">
        <v>46139</v>
      </c>
      <c r="D568" s="5">
        <v>146.66999999999999</v>
      </c>
      <c r="E568" t="s">
        <v>558</v>
      </c>
      <c r="F568" t="s">
        <v>1049</v>
      </c>
      <c r="G568" t="s">
        <v>128</v>
      </c>
      <c r="H568" t="s">
        <v>1347</v>
      </c>
    </row>
    <row r="569" spans="1:8" ht="15" customHeight="1" x14ac:dyDescent="0.25">
      <c r="A569" t="s">
        <v>1348</v>
      </c>
      <c r="B569" t="s">
        <v>1349</v>
      </c>
      <c r="C569" s="1">
        <v>46139</v>
      </c>
      <c r="D569" s="5">
        <v>146.66999999999999</v>
      </c>
      <c r="E569" t="s">
        <v>558</v>
      </c>
      <c r="F569" t="s">
        <v>1049</v>
      </c>
      <c r="G569" t="s">
        <v>128</v>
      </c>
      <c r="H569" t="s">
        <v>1350</v>
      </c>
    </row>
    <row r="570" spans="1:8" ht="15" customHeight="1" x14ac:dyDescent="0.25">
      <c r="A570" t="s">
        <v>1351</v>
      </c>
      <c r="B570" t="s">
        <v>1352</v>
      </c>
      <c r="C570" s="1">
        <v>46139</v>
      </c>
      <c r="D570" s="5">
        <v>5.52</v>
      </c>
      <c r="E570" t="s">
        <v>558</v>
      </c>
      <c r="F570" t="s">
        <v>1049</v>
      </c>
      <c r="G570" t="s">
        <v>222</v>
      </c>
      <c r="H570" t="s">
        <v>1353</v>
      </c>
    </row>
    <row r="571" spans="1:8" ht="15" customHeight="1" x14ac:dyDescent="0.25">
      <c r="A571" t="s">
        <v>338</v>
      </c>
      <c r="B571" t="s">
        <v>339</v>
      </c>
      <c r="C571" s="1">
        <v>46139</v>
      </c>
      <c r="D571" s="5">
        <v>5.52</v>
      </c>
      <c r="E571" t="s">
        <v>558</v>
      </c>
      <c r="F571" t="s">
        <v>1049</v>
      </c>
      <c r="G571" t="s">
        <v>128</v>
      </c>
      <c r="H571" t="s">
        <v>1354</v>
      </c>
    </row>
    <row r="572" spans="1:8" ht="15" customHeight="1" x14ac:dyDescent="0.25">
      <c r="A572" t="s">
        <v>356</v>
      </c>
      <c r="B572" t="s">
        <v>357</v>
      </c>
      <c r="C572" s="1">
        <v>46139</v>
      </c>
      <c r="D572" s="5">
        <v>5.52</v>
      </c>
      <c r="E572" t="s">
        <v>558</v>
      </c>
      <c r="F572" t="s">
        <v>1049</v>
      </c>
      <c r="G572" t="s">
        <v>235</v>
      </c>
      <c r="H572" t="s">
        <v>1355</v>
      </c>
    </row>
    <row r="573" spans="1:8" ht="15" customHeight="1" x14ac:dyDescent="0.25">
      <c r="A573" t="s">
        <v>775</v>
      </c>
      <c r="B573" t="s">
        <v>776</v>
      </c>
      <c r="C573" s="1">
        <v>46139</v>
      </c>
      <c r="D573" s="5">
        <v>5.52</v>
      </c>
      <c r="E573" t="s">
        <v>558</v>
      </c>
      <c r="F573" t="s">
        <v>1049</v>
      </c>
      <c r="G573" t="s">
        <v>222</v>
      </c>
      <c r="H573" t="s">
        <v>1356</v>
      </c>
    </row>
    <row r="574" spans="1:8" ht="15" customHeight="1" x14ac:dyDescent="0.25">
      <c r="A574" t="s">
        <v>958</v>
      </c>
      <c r="B574" t="s">
        <v>959</v>
      </c>
      <c r="C574" s="1">
        <v>46139</v>
      </c>
      <c r="D574" s="5">
        <v>5.52</v>
      </c>
      <c r="E574" t="s">
        <v>558</v>
      </c>
      <c r="F574" t="s">
        <v>1049</v>
      </c>
      <c r="G574" t="s">
        <v>128</v>
      </c>
      <c r="H574" t="s">
        <v>1357</v>
      </c>
    </row>
    <row r="575" spans="1:8" ht="15" customHeight="1" x14ac:dyDescent="0.25">
      <c r="A575" t="s">
        <v>1358</v>
      </c>
      <c r="B575" t="s">
        <v>1359</v>
      </c>
      <c r="C575" s="1">
        <v>46139</v>
      </c>
      <c r="D575" s="5">
        <v>38.520000000000003</v>
      </c>
      <c r="E575" t="s">
        <v>558</v>
      </c>
      <c r="F575" t="s">
        <v>1049</v>
      </c>
      <c r="G575" t="s">
        <v>222</v>
      </c>
      <c r="H575" t="s">
        <v>1360</v>
      </c>
    </row>
    <row r="576" spans="1:8" ht="15" customHeight="1" x14ac:dyDescent="0.25">
      <c r="A576" t="s">
        <v>955</v>
      </c>
      <c r="B576" t="s">
        <v>956</v>
      </c>
      <c r="C576" s="1">
        <v>46139</v>
      </c>
      <c r="D576" s="5">
        <v>5.52</v>
      </c>
      <c r="E576" t="s">
        <v>558</v>
      </c>
      <c r="F576" t="s">
        <v>1049</v>
      </c>
      <c r="G576" t="s">
        <v>128</v>
      </c>
      <c r="H576" t="s">
        <v>1361</v>
      </c>
    </row>
    <row r="577" spans="1:8" ht="15" customHeight="1" x14ac:dyDescent="0.25">
      <c r="A577" t="s">
        <v>843</v>
      </c>
      <c r="B577" t="s">
        <v>844</v>
      </c>
      <c r="C577" s="1">
        <v>46139</v>
      </c>
      <c r="D577" s="5">
        <v>5.52</v>
      </c>
      <c r="E577" t="s">
        <v>558</v>
      </c>
      <c r="F577" t="s">
        <v>1049</v>
      </c>
      <c r="G577" t="s">
        <v>128</v>
      </c>
      <c r="H577" t="s">
        <v>1362</v>
      </c>
    </row>
    <row r="578" spans="1:8" ht="15" customHeight="1" x14ac:dyDescent="0.25">
      <c r="A578" t="s">
        <v>1034</v>
      </c>
      <c r="B578" t="s">
        <v>1035</v>
      </c>
      <c r="C578" s="1">
        <v>46139</v>
      </c>
      <c r="D578" s="5">
        <v>7.36</v>
      </c>
      <c r="E578" t="s">
        <v>558</v>
      </c>
      <c r="F578" t="s">
        <v>1049</v>
      </c>
      <c r="G578" t="s">
        <v>128</v>
      </c>
      <c r="H578" t="s">
        <v>1363</v>
      </c>
    </row>
    <row r="579" spans="1:8" ht="15" customHeight="1" x14ac:dyDescent="0.25">
      <c r="A579" t="s">
        <v>1031</v>
      </c>
      <c r="B579" t="s">
        <v>1032</v>
      </c>
      <c r="C579" s="1">
        <v>46139</v>
      </c>
      <c r="D579" s="5">
        <v>7.36</v>
      </c>
      <c r="E579" t="s">
        <v>558</v>
      </c>
      <c r="F579" t="s">
        <v>1049</v>
      </c>
      <c r="G579" t="s">
        <v>128</v>
      </c>
      <c r="H579" t="s">
        <v>1364</v>
      </c>
    </row>
    <row r="580" spans="1:8" ht="15" customHeight="1" x14ac:dyDescent="0.25">
      <c r="A580" t="s">
        <v>1365</v>
      </c>
      <c r="B580" t="s">
        <v>1366</v>
      </c>
      <c r="C580" s="1">
        <v>46139</v>
      </c>
      <c r="D580" s="5">
        <v>163.91</v>
      </c>
      <c r="E580" t="s">
        <v>558</v>
      </c>
      <c r="F580" t="s">
        <v>1049</v>
      </c>
      <c r="G580" t="s">
        <v>128</v>
      </c>
      <c r="H580" t="s">
        <v>1367</v>
      </c>
    </row>
    <row r="581" spans="1:8" ht="15" customHeight="1" x14ac:dyDescent="0.25">
      <c r="A581" t="s">
        <v>1368</v>
      </c>
      <c r="B581" t="s">
        <v>1369</v>
      </c>
      <c r="C581" s="1">
        <v>46139</v>
      </c>
      <c r="D581" s="5">
        <v>3.68</v>
      </c>
      <c r="E581" t="s">
        <v>558</v>
      </c>
      <c r="F581" t="s">
        <v>1049</v>
      </c>
      <c r="G581" t="s">
        <v>264</v>
      </c>
      <c r="H581" t="s">
        <v>1370</v>
      </c>
    </row>
    <row r="582" spans="1:8" ht="15" customHeight="1" x14ac:dyDescent="0.25">
      <c r="A582" t="s">
        <v>1093</v>
      </c>
      <c r="B582" t="s">
        <v>1094</v>
      </c>
      <c r="C582" s="1">
        <v>46139</v>
      </c>
      <c r="D582" s="5">
        <v>26.98</v>
      </c>
      <c r="E582" t="s">
        <v>558</v>
      </c>
      <c r="F582" t="s">
        <v>1049</v>
      </c>
      <c r="G582" t="s">
        <v>222</v>
      </c>
      <c r="H582" t="s">
        <v>1371</v>
      </c>
    </row>
    <row r="583" spans="1:8" ht="15" customHeight="1" x14ac:dyDescent="0.25">
      <c r="A583" t="s">
        <v>1372</v>
      </c>
      <c r="B583" t="s">
        <v>1373</v>
      </c>
      <c r="C583" s="1">
        <v>46139</v>
      </c>
      <c r="D583" s="5">
        <v>27.52</v>
      </c>
      <c r="E583" t="s">
        <v>558</v>
      </c>
      <c r="F583" t="s">
        <v>1049</v>
      </c>
      <c r="G583" t="s">
        <v>222</v>
      </c>
      <c r="H583" t="s">
        <v>1374</v>
      </c>
    </row>
    <row r="584" spans="1:8" ht="15" customHeight="1" x14ac:dyDescent="0.25">
      <c r="A584" t="s">
        <v>1375</v>
      </c>
      <c r="B584" t="s">
        <v>1376</v>
      </c>
      <c r="C584" s="1">
        <v>46139</v>
      </c>
      <c r="D584" s="5">
        <v>38.520000000000003</v>
      </c>
      <c r="E584" t="s">
        <v>558</v>
      </c>
      <c r="F584" t="s">
        <v>1049</v>
      </c>
      <c r="G584" t="s">
        <v>222</v>
      </c>
      <c r="H584" t="s">
        <v>1377</v>
      </c>
    </row>
    <row r="585" spans="1:8" ht="15" customHeight="1" x14ac:dyDescent="0.25">
      <c r="A585" t="s">
        <v>810</v>
      </c>
      <c r="B585" t="s">
        <v>811</v>
      </c>
      <c r="C585" s="1">
        <v>46140</v>
      </c>
      <c r="D585" s="5">
        <v>37.229999999999997</v>
      </c>
      <c r="E585" t="s">
        <v>558</v>
      </c>
      <c r="F585" t="s">
        <v>1049</v>
      </c>
      <c r="G585" t="s">
        <v>264</v>
      </c>
      <c r="H585" t="s">
        <v>1378</v>
      </c>
    </row>
    <row r="586" spans="1:8" ht="15" customHeight="1" x14ac:dyDescent="0.25">
      <c r="A586" t="s">
        <v>1379</v>
      </c>
      <c r="B586" t="s">
        <v>1380</v>
      </c>
      <c r="C586" s="1">
        <v>46140</v>
      </c>
      <c r="D586" s="5">
        <v>146.66999999999999</v>
      </c>
      <c r="E586" t="s">
        <v>558</v>
      </c>
      <c r="F586" t="s">
        <v>1049</v>
      </c>
      <c r="G586" t="s">
        <v>128</v>
      </c>
      <c r="H586" t="s">
        <v>1381</v>
      </c>
    </row>
    <row r="587" spans="1:8" ht="15" customHeight="1" x14ac:dyDescent="0.25">
      <c r="A587" t="s">
        <v>1054</v>
      </c>
      <c r="B587" t="s">
        <v>1055</v>
      </c>
      <c r="C587" s="1">
        <v>46140</v>
      </c>
      <c r="D587" s="5">
        <v>3</v>
      </c>
      <c r="E587" t="s">
        <v>558</v>
      </c>
      <c r="F587" t="s">
        <v>1049</v>
      </c>
      <c r="G587" t="s">
        <v>124</v>
      </c>
      <c r="H587" t="s">
        <v>1382</v>
      </c>
    </row>
    <row r="588" spans="1:8" ht="15" customHeight="1" x14ac:dyDescent="0.25">
      <c r="A588" t="s">
        <v>1383</v>
      </c>
      <c r="B588" t="s">
        <v>1384</v>
      </c>
      <c r="C588" s="1">
        <v>46140</v>
      </c>
      <c r="D588" s="5">
        <v>41.6</v>
      </c>
      <c r="E588" t="s">
        <v>558</v>
      </c>
      <c r="F588" t="s">
        <v>1049</v>
      </c>
      <c r="G588" t="s">
        <v>292</v>
      </c>
      <c r="H588" t="s">
        <v>1385</v>
      </c>
    </row>
    <row r="589" spans="1:8" ht="15" customHeight="1" x14ac:dyDescent="0.25">
      <c r="A589" t="s">
        <v>1386</v>
      </c>
      <c r="B589" t="s">
        <v>1387</v>
      </c>
      <c r="C589" s="1">
        <v>46140</v>
      </c>
      <c r="D589" s="5">
        <v>3.86</v>
      </c>
      <c r="E589" t="s">
        <v>558</v>
      </c>
      <c r="F589" t="s">
        <v>1049</v>
      </c>
      <c r="G589" t="s">
        <v>183</v>
      </c>
      <c r="H589" t="s">
        <v>1388</v>
      </c>
    </row>
    <row r="590" spans="1:8" ht="15" customHeight="1" x14ac:dyDescent="0.25">
      <c r="A590" t="s">
        <v>1389</v>
      </c>
      <c r="B590" t="s">
        <v>1390</v>
      </c>
      <c r="C590" s="1">
        <v>46140</v>
      </c>
      <c r="D590" s="5">
        <v>31.2</v>
      </c>
      <c r="E590" t="s">
        <v>558</v>
      </c>
      <c r="F590" t="s">
        <v>1049</v>
      </c>
      <c r="G590" t="s">
        <v>124</v>
      </c>
      <c r="H590" t="s">
        <v>1391</v>
      </c>
    </row>
    <row r="591" spans="1:8" ht="15" customHeight="1" x14ac:dyDescent="0.25">
      <c r="A591" t="s">
        <v>1121</v>
      </c>
      <c r="B591" t="s">
        <v>1122</v>
      </c>
      <c r="C591" s="1">
        <v>46140</v>
      </c>
      <c r="D591" s="5">
        <v>5.52</v>
      </c>
      <c r="E591" t="s">
        <v>558</v>
      </c>
      <c r="F591" t="s">
        <v>1049</v>
      </c>
      <c r="G591" t="s">
        <v>128</v>
      </c>
      <c r="H591" t="s">
        <v>1392</v>
      </c>
    </row>
    <row r="592" spans="1:8" ht="15" customHeight="1" x14ac:dyDescent="0.25">
      <c r="A592" t="s">
        <v>1087</v>
      </c>
      <c r="B592" t="s">
        <v>1088</v>
      </c>
      <c r="C592" s="1">
        <v>46140</v>
      </c>
      <c r="D592" s="5">
        <v>5.52</v>
      </c>
      <c r="E592" t="s">
        <v>558</v>
      </c>
      <c r="F592" t="s">
        <v>1049</v>
      </c>
      <c r="G592" t="s">
        <v>135</v>
      </c>
      <c r="H592" t="s">
        <v>1393</v>
      </c>
    </row>
    <row r="593" spans="1:8" ht="15" customHeight="1" x14ac:dyDescent="0.25">
      <c r="A593" t="s">
        <v>133</v>
      </c>
      <c r="B593" t="s">
        <v>134</v>
      </c>
      <c r="C593" s="1">
        <v>46140</v>
      </c>
      <c r="D593" s="5">
        <v>5.52</v>
      </c>
      <c r="E593" t="s">
        <v>558</v>
      </c>
      <c r="F593" t="s">
        <v>1049</v>
      </c>
      <c r="G593" t="s">
        <v>135</v>
      </c>
      <c r="H593" t="s">
        <v>1394</v>
      </c>
    </row>
    <row r="594" spans="1:8" ht="15" customHeight="1" x14ac:dyDescent="0.25">
      <c r="A594" t="s">
        <v>1395</v>
      </c>
      <c r="B594" t="s">
        <v>1396</v>
      </c>
      <c r="C594" s="1">
        <v>46140</v>
      </c>
      <c r="D594" s="5">
        <v>146.66999999999999</v>
      </c>
      <c r="E594" t="s">
        <v>558</v>
      </c>
      <c r="F594" t="s">
        <v>1049</v>
      </c>
      <c r="G594" t="s">
        <v>128</v>
      </c>
      <c r="H594" t="s">
        <v>1397</v>
      </c>
    </row>
    <row r="595" spans="1:8" ht="15" customHeight="1" x14ac:dyDescent="0.25">
      <c r="A595" t="s">
        <v>171</v>
      </c>
      <c r="B595" t="s">
        <v>172</v>
      </c>
      <c r="C595" s="1">
        <v>46140</v>
      </c>
      <c r="D595" s="5">
        <v>3.86</v>
      </c>
      <c r="E595" t="s">
        <v>558</v>
      </c>
      <c r="F595" t="s">
        <v>1049</v>
      </c>
      <c r="G595" t="s">
        <v>148</v>
      </c>
      <c r="H595" t="s">
        <v>1398</v>
      </c>
    </row>
    <row r="596" spans="1:8" ht="15" customHeight="1" x14ac:dyDescent="0.25">
      <c r="A596" t="s">
        <v>1399</v>
      </c>
      <c r="B596" t="s">
        <v>1400</v>
      </c>
      <c r="C596" s="1">
        <v>46140</v>
      </c>
      <c r="D596" s="5">
        <v>146.66999999999999</v>
      </c>
      <c r="E596" t="s">
        <v>558</v>
      </c>
      <c r="F596" t="s">
        <v>1049</v>
      </c>
      <c r="G596" t="s">
        <v>128</v>
      </c>
      <c r="H596" t="s">
        <v>1401</v>
      </c>
    </row>
    <row r="597" spans="1:8" ht="15" customHeight="1" x14ac:dyDescent="0.25">
      <c r="A597" t="s">
        <v>281</v>
      </c>
      <c r="B597" t="s">
        <v>282</v>
      </c>
      <c r="C597" s="1">
        <v>46140</v>
      </c>
      <c r="D597" s="5">
        <v>26</v>
      </c>
      <c r="E597" t="s">
        <v>558</v>
      </c>
      <c r="F597" t="s">
        <v>1049</v>
      </c>
      <c r="G597" t="s">
        <v>128</v>
      </c>
      <c r="H597" t="s">
        <v>1402</v>
      </c>
    </row>
    <row r="598" spans="1:8" ht="15" customHeight="1" x14ac:dyDescent="0.25">
      <c r="A598" t="s">
        <v>1403</v>
      </c>
      <c r="B598" t="s">
        <v>1404</v>
      </c>
      <c r="C598" s="1">
        <v>46140</v>
      </c>
      <c r="D598" s="5">
        <v>51.36</v>
      </c>
      <c r="E598" t="s">
        <v>558</v>
      </c>
      <c r="F598" t="s">
        <v>1049</v>
      </c>
      <c r="G598" t="s">
        <v>128</v>
      </c>
      <c r="H598" t="s">
        <v>1405</v>
      </c>
    </row>
    <row r="599" spans="1:8" ht="15" customHeight="1" x14ac:dyDescent="0.25">
      <c r="A599" t="s">
        <v>1406</v>
      </c>
      <c r="B599" t="s">
        <v>1407</v>
      </c>
      <c r="C599" s="1">
        <v>46140</v>
      </c>
      <c r="D599" s="5">
        <v>146.66999999999999</v>
      </c>
      <c r="E599" t="s">
        <v>558</v>
      </c>
      <c r="F599" t="s">
        <v>1049</v>
      </c>
      <c r="G599" t="s">
        <v>128</v>
      </c>
      <c r="H599" t="s">
        <v>1408</v>
      </c>
    </row>
    <row r="600" spans="1:8" ht="15" customHeight="1" x14ac:dyDescent="0.25">
      <c r="A600" t="s">
        <v>961</v>
      </c>
      <c r="B600" t="s">
        <v>962</v>
      </c>
      <c r="C600" s="1">
        <v>46140</v>
      </c>
      <c r="D600" s="5">
        <v>124.67</v>
      </c>
      <c r="E600" t="s">
        <v>558</v>
      </c>
      <c r="F600" t="s">
        <v>1049</v>
      </c>
      <c r="G600" t="s">
        <v>222</v>
      </c>
      <c r="H600" t="s">
        <v>1409</v>
      </c>
    </row>
    <row r="601" spans="1:8" ht="15" customHeight="1" x14ac:dyDescent="0.25">
      <c r="A601" t="s">
        <v>1410</v>
      </c>
      <c r="B601" t="s">
        <v>1411</v>
      </c>
      <c r="C601" s="1">
        <v>46140</v>
      </c>
      <c r="D601" s="5">
        <v>5.52</v>
      </c>
      <c r="E601" t="s">
        <v>558</v>
      </c>
      <c r="F601" t="s">
        <v>1049</v>
      </c>
      <c r="G601" t="s">
        <v>222</v>
      </c>
      <c r="H601" t="s">
        <v>1412</v>
      </c>
    </row>
    <row r="602" spans="1:8" ht="15" customHeight="1" x14ac:dyDescent="0.25">
      <c r="A602" t="s">
        <v>636</v>
      </c>
      <c r="B602" t="s">
        <v>637</v>
      </c>
      <c r="C602" s="1">
        <v>46140</v>
      </c>
      <c r="D602" s="5">
        <v>5.52</v>
      </c>
      <c r="E602" t="s">
        <v>558</v>
      </c>
      <c r="F602" t="s">
        <v>1049</v>
      </c>
      <c r="G602" t="s">
        <v>231</v>
      </c>
      <c r="H602" t="s">
        <v>1413</v>
      </c>
    </row>
    <row r="603" spans="1:8" ht="15" customHeight="1" x14ac:dyDescent="0.25">
      <c r="A603" t="s">
        <v>1414</v>
      </c>
      <c r="B603" t="s">
        <v>1415</v>
      </c>
      <c r="C603" s="1">
        <v>46140</v>
      </c>
      <c r="D603" s="5">
        <v>144.22999999999999</v>
      </c>
      <c r="E603" t="s">
        <v>558</v>
      </c>
      <c r="F603" t="s">
        <v>1049</v>
      </c>
      <c r="G603" t="s">
        <v>128</v>
      </c>
      <c r="H603" t="s">
        <v>1416</v>
      </c>
    </row>
    <row r="604" spans="1:8" ht="15" customHeight="1" x14ac:dyDescent="0.25">
      <c r="A604" t="s">
        <v>1417</v>
      </c>
      <c r="B604" t="s">
        <v>1243</v>
      </c>
      <c r="C604" s="1">
        <v>46140</v>
      </c>
      <c r="D604" s="5">
        <v>5.52</v>
      </c>
      <c r="E604" t="s">
        <v>558</v>
      </c>
      <c r="F604" t="s">
        <v>1049</v>
      </c>
      <c r="G604" t="s">
        <v>124</v>
      </c>
      <c r="H604" t="s">
        <v>1418</v>
      </c>
    </row>
    <row r="605" spans="1:8" ht="15" customHeight="1" x14ac:dyDescent="0.25">
      <c r="A605" t="s">
        <v>44</v>
      </c>
      <c r="B605" t="s">
        <v>123</v>
      </c>
      <c r="C605" s="1">
        <v>46140</v>
      </c>
      <c r="D605" s="5">
        <v>5.52</v>
      </c>
      <c r="E605" t="s">
        <v>558</v>
      </c>
      <c r="F605" t="s">
        <v>1049</v>
      </c>
      <c r="G605" t="s">
        <v>314</v>
      </c>
      <c r="H605" t="s">
        <v>1419</v>
      </c>
    </row>
    <row r="606" spans="1:8" ht="15" customHeight="1" x14ac:dyDescent="0.25">
      <c r="A606" t="s">
        <v>1124</v>
      </c>
      <c r="B606" t="s">
        <v>1125</v>
      </c>
      <c r="C606" s="1">
        <v>46140</v>
      </c>
      <c r="D606" s="5">
        <v>5.52</v>
      </c>
      <c r="E606" t="s">
        <v>558</v>
      </c>
      <c r="F606" t="s">
        <v>1049</v>
      </c>
      <c r="G606" t="s">
        <v>128</v>
      </c>
      <c r="H606" t="s">
        <v>1420</v>
      </c>
    </row>
    <row r="607" spans="1:8" ht="15" customHeight="1" x14ac:dyDescent="0.25">
      <c r="A607" t="s">
        <v>364</v>
      </c>
      <c r="B607" t="s">
        <v>365</v>
      </c>
      <c r="C607" s="1">
        <v>46140</v>
      </c>
      <c r="D607" s="5">
        <v>26</v>
      </c>
      <c r="E607" t="s">
        <v>558</v>
      </c>
      <c r="F607" t="s">
        <v>1049</v>
      </c>
      <c r="G607" t="s">
        <v>128</v>
      </c>
      <c r="H607" t="s">
        <v>1421</v>
      </c>
    </row>
    <row r="608" spans="1:8" ht="15" customHeight="1" x14ac:dyDescent="0.25">
      <c r="A608" t="s">
        <v>1422</v>
      </c>
      <c r="B608" t="s">
        <v>1423</v>
      </c>
      <c r="C608" s="1">
        <v>46140</v>
      </c>
      <c r="D608" s="5">
        <v>124.637</v>
      </c>
      <c r="E608" t="s">
        <v>558</v>
      </c>
      <c r="F608" t="s">
        <v>1049</v>
      </c>
      <c r="G608" t="s">
        <v>292</v>
      </c>
      <c r="H608" t="s">
        <v>1424</v>
      </c>
    </row>
    <row r="609" spans="1:8" ht="15" customHeight="1" x14ac:dyDescent="0.25">
      <c r="A609" t="s">
        <v>1425</v>
      </c>
      <c r="B609" t="s">
        <v>1426</v>
      </c>
      <c r="C609" s="1">
        <v>46140</v>
      </c>
      <c r="D609" s="5">
        <v>146.66999999999999</v>
      </c>
      <c r="E609" t="s">
        <v>558</v>
      </c>
      <c r="F609" t="s">
        <v>1049</v>
      </c>
      <c r="G609" t="s">
        <v>128</v>
      </c>
      <c r="H609" t="s">
        <v>1427</v>
      </c>
    </row>
    <row r="610" spans="1:8" ht="15" customHeight="1" x14ac:dyDescent="0.25">
      <c r="A610" t="s">
        <v>1428</v>
      </c>
      <c r="B610" t="s">
        <v>1429</v>
      </c>
      <c r="C610" s="1">
        <v>46140</v>
      </c>
      <c r="D610" s="5">
        <v>124.67</v>
      </c>
      <c r="E610" t="s">
        <v>558</v>
      </c>
      <c r="F610" t="s">
        <v>1049</v>
      </c>
      <c r="G610" t="s">
        <v>292</v>
      </c>
      <c r="H610" t="s">
        <v>1430</v>
      </c>
    </row>
    <row r="611" spans="1:8" ht="15" customHeight="1" x14ac:dyDescent="0.25">
      <c r="A611" t="s">
        <v>1431</v>
      </c>
      <c r="B611" t="s">
        <v>1432</v>
      </c>
      <c r="C611" s="1">
        <v>46140</v>
      </c>
      <c r="D611" s="5">
        <v>31.2</v>
      </c>
      <c r="E611" t="s">
        <v>558</v>
      </c>
      <c r="F611" t="s">
        <v>1049</v>
      </c>
      <c r="G611" t="s">
        <v>292</v>
      </c>
      <c r="H611" t="s">
        <v>1433</v>
      </c>
    </row>
    <row r="612" spans="1:8" ht="15" customHeight="1" x14ac:dyDescent="0.25">
      <c r="A612" t="s">
        <v>1434</v>
      </c>
      <c r="B612" t="s">
        <v>1435</v>
      </c>
      <c r="C612" s="1">
        <v>46140</v>
      </c>
      <c r="D612" s="5">
        <v>133.83000000000001</v>
      </c>
      <c r="E612" t="s">
        <v>558</v>
      </c>
      <c r="F612" t="s">
        <v>1049</v>
      </c>
      <c r="G612" t="s">
        <v>292</v>
      </c>
      <c r="H612" t="s">
        <v>1436</v>
      </c>
    </row>
    <row r="613" spans="1:8" ht="15" customHeight="1" x14ac:dyDescent="0.25">
      <c r="A613" t="s">
        <v>1437</v>
      </c>
      <c r="B613" t="s">
        <v>1438</v>
      </c>
      <c r="C613" s="1">
        <v>46140</v>
      </c>
      <c r="D613" s="5">
        <v>163.91</v>
      </c>
      <c r="E613" t="s">
        <v>558</v>
      </c>
      <c r="F613" t="s">
        <v>1049</v>
      </c>
      <c r="G613" t="s">
        <v>292</v>
      </c>
      <c r="H613" t="s">
        <v>1439</v>
      </c>
    </row>
    <row r="614" spans="1:8" ht="15" customHeight="1" x14ac:dyDescent="0.25">
      <c r="A614" t="s">
        <v>329</v>
      </c>
      <c r="B614" t="s">
        <v>330</v>
      </c>
      <c r="C614" s="1">
        <v>46140</v>
      </c>
      <c r="D614" s="5">
        <v>3.68</v>
      </c>
      <c r="E614" t="s">
        <v>558</v>
      </c>
      <c r="F614" t="s">
        <v>1049</v>
      </c>
      <c r="G614" t="s">
        <v>260</v>
      </c>
      <c r="H614" t="s">
        <v>1440</v>
      </c>
    </row>
    <row r="615" spans="1:8" ht="15" customHeight="1" x14ac:dyDescent="0.25">
      <c r="A615" t="s">
        <v>1441</v>
      </c>
      <c r="B615" t="s">
        <v>1442</v>
      </c>
      <c r="C615" s="1">
        <v>46140</v>
      </c>
      <c r="D615" s="5">
        <v>25.14</v>
      </c>
      <c r="E615" t="s">
        <v>558</v>
      </c>
      <c r="F615" t="s">
        <v>1049</v>
      </c>
      <c r="G615" t="s">
        <v>260</v>
      </c>
      <c r="H615" t="s">
        <v>1443</v>
      </c>
    </row>
    <row r="616" spans="1:8" ht="15" customHeight="1" x14ac:dyDescent="0.25">
      <c r="A616" t="s">
        <v>1444</v>
      </c>
      <c r="B616" t="s">
        <v>1445</v>
      </c>
      <c r="C616" s="1">
        <v>46140</v>
      </c>
      <c r="D616" s="5">
        <v>25.68</v>
      </c>
      <c r="E616" t="s">
        <v>558</v>
      </c>
      <c r="F616" t="s">
        <v>1049</v>
      </c>
      <c r="G616" t="s">
        <v>260</v>
      </c>
      <c r="H616" t="s">
        <v>1446</v>
      </c>
    </row>
    <row r="617" spans="1:8" ht="15" customHeight="1" x14ac:dyDescent="0.25">
      <c r="A617" t="s">
        <v>1447</v>
      </c>
      <c r="B617" t="s">
        <v>1448</v>
      </c>
      <c r="C617" s="1">
        <v>46140</v>
      </c>
      <c r="D617" s="5">
        <v>142.44999999999999</v>
      </c>
      <c r="E617" t="s">
        <v>558</v>
      </c>
      <c r="F617" t="s">
        <v>1049</v>
      </c>
      <c r="G617" t="s">
        <v>260</v>
      </c>
      <c r="H617" t="s">
        <v>1449</v>
      </c>
    </row>
    <row r="618" spans="1:8" ht="15" customHeight="1" x14ac:dyDescent="0.25">
      <c r="A618" t="s">
        <v>509</v>
      </c>
      <c r="B618" t="s">
        <v>510</v>
      </c>
      <c r="C618" s="1">
        <v>46141</v>
      </c>
      <c r="D618" s="5">
        <v>5.52</v>
      </c>
      <c r="E618" t="s">
        <v>558</v>
      </c>
      <c r="F618" t="s">
        <v>1049</v>
      </c>
      <c r="G618" t="s">
        <v>231</v>
      </c>
      <c r="H618" t="s">
        <v>1450</v>
      </c>
    </row>
    <row r="619" spans="1:8" ht="15" customHeight="1" x14ac:dyDescent="0.25">
      <c r="A619" t="s">
        <v>866</v>
      </c>
      <c r="B619" t="s">
        <v>867</v>
      </c>
      <c r="C619" s="1">
        <v>46141</v>
      </c>
      <c r="D619" s="5">
        <v>3.86</v>
      </c>
      <c r="E619" t="s">
        <v>558</v>
      </c>
      <c r="F619" t="s">
        <v>1049</v>
      </c>
      <c r="G619" t="s">
        <v>183</v>
      </c>
      <c r="H619" t="s">
        <v>1451</v>
      </c>
    </row>
    <row r="620" spans="1:8" ht="15" customHeight="1" x14ac:dyDescent="0.25">
      <c r="A620" t="s">
        <v>1452</v>
      </c>
      <c r="B620" t="s">
        <v>1453</v>
      </c>
      <c r="C620" s="1">
        <v>46141</v>
      </c>
      <c r="D620" s="5">
        <v>152.19</v>
      </c>
      <c r="E620" t="s">
        <v>558</v>
      </c>
      <c r="F620" t="s">
        <v>1049</v>
      </c>
      <c r="G620" t="s">
        <v>657</v>
      </c>
      <c r="H620" t="s">
        <v>1454</v>
      </c>
    </row>
    <row r="621" spans="1:8" ht="15" customHeight="1" x14ac:dyDescent="0.25">
      <c r="A621" t="s">
        <v>704</v>
      </c>
      <c r="B621" t="s">
        <v>705</v>
      </c>
      <c r="C621" s="1">
        <v>46141</v>
      </c>
      <c r="D621" s="5">
        <v>26</v>
      </c>
      <c r="E621" t="s">
        <v>558</v>
      </c>
      <c r="F621" t="s">
        <v>1049</v>
      </c>
      <c r="G621" t="s">
        <v>128</v>
      </c>
      <c r="H621" t="s">
        <v>1455</v>
      </c>
    </row>
    <row r="622" spans="1:8" ht="15" customHeight="1" x14ac:dyDescent="0.25">
      <c r="A622" t="s">
        <v>1153</v>
      </c>
      <c r="B622" t="s">
        <v>1154</v>
      </c>
      <c r="C622" s="1">
        <v>46141</v>
      </c>
      <c r="D622" s="5">
        <v>5.52</v>
      </c>
      <c r="E622" t="s">
        <v>558</v>
      </c>
      <c r="F622" t="s">
        <v>1049</v>
      </c>
      <c r="G622" t="s">
        <v>128</v>
      </c>
      <c r="H622" t="s">
        <v>1456</v>
      </c>
    </row>
    <row r="623" spans="1:8" ht="15" customHeight="1" x14ac:dyDescent="0.25">
      <c r="A623" t="s">
        <v>1457</v>
      </c>
      <c r="B623" t="s">
        <v>1458</v>
      </c>
      <c r="C623" s="1">
        <v>46141</v>
      </c>
      <c r="D623" s="5">
        <v>26</v>
      </c>
      <c r="E623" t="s">
        <v>558</v>
      </c>
      <c r="F623" t="s">
        <v>1049</v>
      </c>
      <c r="G623" t="s">
        <v>128</v>
      </c>
      <c r="H623" t="s">
        <v>1459</v>
      </c>
    </row>
    <row r="624" spans="1:8" ht="15" customHeight="1" x14ac:dyDescent="0.25">
      <c r="A624" t="s">
        <v>143</v>
      </c>
      <c r="B624" t="s">
        <v>144</v>
      </c>
      <c r="C624" s="1">
        <v>46141</v>
      </c>
      <c r="D624" s="5">
        <v>5.52</v>
      </c>
      <c r="E624" t="s">
        <v>558</v>
      </c>
      <c r="F624" t="s">
        <v>1049</v>
      </c>
      <c r="G624" t="s">
        <v>128</v>
      </c>
      <c r="H624" t="s">
        <v>1460</v>
      </c>
    </row>
    <row r="625" spans="1:8" ht="15" customHeight="1" x14ac:dyDescent="0.25">
      <c r="A625" t="s">
        <v>1365</v>
      </c>
      <c r="B625" t="s">
        <v>1366</v>
      </c>
      <c r="C625" s="1">
        <v>46141</v>
      </c>
      <c r="D625" s="5">
        <v>5.52</v>
      </c>
      <c r="E625" t="s">
        <v>558</v>
      </c>
      <c r="F625" t="s">
        <v>1049</v>
      </c>
      <c r="G625" t="s">
        <v>128</v>
      </c>
      <c r="H625" t="s">
        <v>1461</v>
      </c>
    </row>
    <row r="626" spans="1:8" ht="15" customHeight="1" x14ac:dyDescent="0.25">
      <c r="A626" t="s">
        <v>1130</v>
      </c>
      <c r="B626" t="s">
        <v>1131</v>
      </c>
      <c r="C626" s="1">
        <v>46141</v>
      </c>
      <c r="D626" s="5">
        <v>5.52</v>
      </c>
      <c r="E626" t="s">
        <v>558</v>
      </c>
      <c r="F626" t="s">
        <v>1049</v>
      </c>
      <c r="G626" t="s">
        <v>128</v>
      </c>
      <c r="H626" t="s">
        <v>1462</v>
      </c>
    </row>
    <row r="627" spans="1:8" ht="15" customHeight="1" x14ac:dyDescent="0.25">
      <c r="A627" t="s">
        <v>1165</v>
      </c>
      <c r="B627" t="s">
        <v>1166</v>
      </c>
      <c r="C627" s="1">
        <v>46141</v>
      </c>
      <c r="D627" s="5">
        <v>5.52</v>
      </c>
      <c r="E627" t="s">
        <v>558</v>
      </c>
      <c r="F627" t="s">
        <v>1049</v>
      </c>
      <c r="G627" t="s">
        <v>128</v>
      </c>
      <c r="H627" t="s">
        <v>1463</v>
      </c>
    </row>
    <row r="628" spans="1:8" ht="15" customHeight="1" x14ac:dyDescent="0.25">
      <c r="A628" t="s">
        <v>1464</v>
      </c>
      <c r="B628" t="s">
        <v>1465</v>
      </c>
      <c r="C628" s="1">
        <v>46141</v>
      </c>
      <c r="D628" s="5">
        <v>38.520000000000003</v>
      </c>
      <c r="E628" t="s">
        <v>558</v>
      </c>
      <c r="F628" t="s">
        <v>1049</v>
      </c>
      <c r="G628" t="s">
        <v>128</v>
      </c>
      <c r="H628" t="s">
        <v>1466</v>
      </c>
    </row>
    <row r="629" spans="1:8" ht="15" customHeight="1" x14ac:dyDescent="0.25">
      <c r="A629" t="s">
        <v>82</v>
      </c>
      <c r="B629" t="s">
        <v>83</v>
      </c>
      <c r="C629" s="1">
        <v>46141</v>
      </c>
      <c r="D629" s="5">
        <v>3.86</v>
      </c>
      <c r="E629" t="s">
        <v>558</v>
      </c>
      <c r="F629" t="s">
        <v>1049</v>
      </c>
      <c r="G629" t="s">
        <v>183</v>
      </c>
      <c r="H629" t="s">
        <v>1467</v>
      </c>
    </row>
    <row r="630" spans="1:8" ht="15" customHeight="1" x14ac:dyDescent="0.25">
      <c r="A630" t="s">
        <v>1468</v>
      </c>
      <c r="B630" t="s">
        <v>1469</v>
      </c>
      <c r="C630" s="1">
        <v>46141</v>
      </c>
      <c r="D630" s="5">
        <v>38.520000000000003</v>
      </c>
      <c r="E630" t="s">
        <v>558</v>
      </c>
      <c r="F630" t="s">
        <v>1049</v>
      </c>
      <c r="G630" t="s">
        <v>128</v>
      </c>
      <c r="H630" t="s">
        <v>1470</v>
      </c>
    </row>
    <row r="631" spans="1:8" ht="15" customHeight="1" x14ac:dyDescent="0.25">
      <c r="A631" t="s">
        <v>1471</v>
      </c>
      <c r="B631" t="s">
        <v>1472</v>
      </c>
      <c r="C631" s="1">
        <v>46141</v>
      </c>
      <c r="D631" s="5">
        <f>10.4+12.84+120.99</f>
        <v>144.22999999999999</v>
      </c>
      <c r="E631" t="s">
        <v>558</v>
      </c>
      <c r="F631" t="s">
        <v>1049</v>
      </c>
      <c r="G631" t="s">
        <v>222</v>
      </c>
      <c r="H631" t="s">
        <v>1473</v>
      </c>
    </row>
    <row r="632" spans="1:8" ht="15" customHeight="1" x14ac:dyDescent="0.25">
      <c r="A632" t="s">
        <v>146</v>
      </c>
      <c r="B632" t="s">
        <v>147</v>
      </c>
      <c r="C632" s="1">
        <v>46141</v>
      </c>
      <c r="D632" s="5">
        <v>3.86</v>
      </c>
      <c r="E632" t="s">
        <v>558</v>
      </c>
      <c r="F632" t="s">
        <v>1049</v>
      </c>
      <c r="G632" t="s">
        <v>148</v>
      </c>
      <c r="H632" t="s">
        <v>1474</v>
      </c>
    </row>
    <row r="633" spans="1:8" ht="15" customHeight="1" x14ac:dyDescent="0.25">
      <c r="A633" t="s">
        <v>1475</v>
      </c>
      <c r="B633" t="s">
        <v>1476</v>
      </c>
      <c r="C633" s="1">
        <v>46141</v>
      </c>
      <c r="D633" s="5">
        <v>141.79</v>
      </c>
      <c r="E633" t="s">
        <v>558</v>
      </c>
      <c r="F633" t="s">
        <v>1049</v>
      </c>
      <c r="G633" t="s">
        <v>1085</v>
      </c>
      <c r="H633" t="s">
        <v>1477</v>
      </c>
    </row>
    <row r="634" spans="1:8" ht="15" customHeight="1" x14ac:dyDescent="0.25">
      <c r="A634" t="s">
        <v>1478</v>
      </c>
      <c r="B634" t="s">
        <v>1479</v>
      </c>
      <c r="C634" s="1">
        <v>46141</v>
      </c>
      <c r="D634" s="5">
        <v>20.8</v>
      </c>
      <c r="E634" t="s">
        <v>558</v>
      </c>
      <c r="F634" t="s">
        <v>1049</v>
      </c>
      <c r="G634" t="s">
        <v>292</v>
      </c>
      <c r="H634" t="s">
        <v>1480</v>
      </c>
    </row>
    <row r="635" spans="1:8" ht="15" customHeight="1" x14ac:dyDescent="0.25">
      <c r="A635" t="s">
        <v>1481</v>
      </c>
      <c r="B635" t="s">
        <v>1482</v>
      </c>
      <c r="C635" s="1">
        <v>46141</v>
      </c>
      <c r="D635" s="5">
        <v>96.63</v>
      </c>
      <c r="E635" t="s">
        <v>558</v>
      </c>
      <c r="F635" t="s">
        <v>1049</v>
      </c>
      <c r="G635" t="s">
        <v>124</v>
      </c>
      <c r="H635" t="s">
        <v>1483</v>
      </c>
    </row>
    <row r="636" spans="1:8" ht="15" customHeight="1" x14ac:dyDescent="0.25">
      <c r="A636" t="s">
        <v>1484</v>
      </c>
      <c r="B636" t="s">
        <v>1485</v>
      </c>
      <c r="C636" s="1">
        <v>46141</v>
      </c>
      <c r="D636" s="5">
        <v>146.66999999999999</v>
      </c>
      <c r="E636" t="s">
        <v>558</v>
      </c>
      <c r="F636" t="s">
        <v>1049</v>
      </c>
      <c r="G636" t="s">
        <v>222</v>
      </c>
      <c r="H636" t="s">
        <v>1486</v>
      </c>
    </row>
    <row r="637" spans="1:8" ht="15" customHeight="1" x14ac:dyDescent="0.25">
      <c r="A637" t="s">
        <v>493</v>
      </c>
      <c r="B637" t="s">
        <v>494</v>
      </c>
      <c r="C637" s="1">
        <v>46141</v>
      </c>
      <c r="D637" s="5">
        <v>150.6</v>
      </c>
      <c r="E637" t="s">
        <v>558</v>
      </c>
      <c r="F637" t="s">
        <v>1049</v>
      </c>
      <c r="G637" t="s">
        <v>222</v>
      </c>
      <c r="H637" t="s">
        <v>1487</v>
      </c>
    </row>
    <row r="638" spans="1:8" ht="15" customHeight="1" x14ac:dyDescent="0.25">
      <c r="A638" t="s">
        <v>1488</v>
      </c>
      <c r="B638" t="s">
        <v>1489</v>
      </c>
      <c r="C638" s="1">
        <v>46141</v>
      </c>
      <c r="D638" s="5">
        <v>38.520000000000003</v>
      </c>
      <c r="E638" t="s">
        <v>558</v>
      </c>
      <c r="F638" t="s">
        <v>1049</v>
      </c>
      <c r="G638" t="s">
        <v>222</v>
      </c>
      <c r="H638" t="s">
        <v>1490</v>
      </c>
    </row>
    <row r="639" spans="1:8" ht="15" customHeight="1" x14ac:dyDescent="0.25">
      <c r="A639" t="s">
        <v>1491</v>
      </c>
      <c r="B639" t="s">
        <v>1492</v>
      </c>
      <c r="C639" s="1">
        <v>46141</v>
      </c>
      <c r="D639" s="5">
        <v>25.14</v>
      </c>
      <c r="E639" t="s">
        <v>558</v>
      </c>
      <c r="F639" t="s">
        <v>1049</v>
      </c>
      <c r="G639" t="s">
        <v>260</v>
      </c>
      <c r="H639" t="s">
        <v>1493</v>
      </c>
    </row>
    <row r="640" spans="1:8" ht="15" customHeight="1" x14ac:dyDescent="0.25">
      <c r="A640" t="s">
        <v>801</v>
      </c>
      <c r="B640" t="s">
        <v>802</v>
      </c>
      <c r="C640" s="1">
        <v>46141</v>
      </c>
      <c r="D640" s="5">
        <v>3.68</v>
      </c>
      <c r="E640" t="s">
        <v>558</v>
      </c>
      <c r="F640" t="s">
        <v>1049</v>
      </c>
      <c r="G640" t="s">
        <v>209</v>
      </c>
      <c r="H640" t="s">
        <v>1494</v>
      </c>
    </row>
    <row r="641" spans="1:8" ht="15" customHeight="1" x14ac:dyDescent="0.25">
      <c r="A641" t="s">
        <v>1495</v>
      </c>
      <c r="B641" t="s">
        <v>1496</v>
      </c>
      <c r="C641" s="1">
        <v>46141</v>
      </c>
      <c r="D641" s="5">
        <v>26</v>
      </c>
      <c r="E641" t="s">
        <v>558</v>
      </c>
      <c r="F641" t="s">
        <v>1049</v>
      </c>
      <c r="G641" t="s">
        <v>148</v>
      </c>
      <c r="H641" t="s">
        <v>1497</v>
      </c>
    </row>
    <row r="642" spans="1:8" ht="15" customHeight="1" x14ac:dyDescent="0.25">
      <c r="A642" t="s">
        <v>1498</v>
      </c>
      <c r="B642" t="s">
        <v>1499</v>
      </c>
      <c r="C642" s="1">
        <v>46141</v>
      </c>
      <c r="D642" s="5">
        <v>141.79</v>
      </c>
      <c r="E642" t="s">
        <v>558</v>
      </c>
      <c r="F642" t="s">
        <v>1049</v>
      </c>
      <c r="G642" t="s">
        <v>1798</v>
      </c>
      <c r="H642" t="s">
        <v>1500</v>
      </c>
    </row>
    <row r="643" spans="1:8" ht="15" customHeight="1" x14ac:dyDescent="0.25">
      <c r="A643" t="s">
        <v>1052</v>
      </c>
      <c r="B643" t="s">
        <v>989</v>
      </c>
      <c r="C643" s="1">
        <v>46141</v>
      </c>
      <c r="D643" s="5">
        <v>124.67</v>
      </c>
      <c r="E643" t="s">
        <v>558</v>
      </c>
      <c r="F643" t="s">
        <v>1049</v>
      </c>
      <c r="G643" t="s">
        <v>231</v>
      </c>
      <c r="H643" t="s">
        <v>1501</v>
      </c>
    </row>
    <row r="644" spans="1:8" ht="15" customHeight="1" x14ac:dyDescent="0.25">
      <c r="A644" t="s">
        <v>156</v>
      </c>
      <c r="B644" t="s">
        <v>157</v>
      </c>
      <c r="C644" s="1">
        <v>46141</v>
      </c>
      <c r="D644" s="5">
        <v>3.86</v>
      </c>
      <c r="E644" t="s">
        <v>558</v>
      </c>
      <c r="F644" t="s">
        <v>1049</v>
      </c>
      <c r="G644" t="s">
        <v>1502</v>
      </c>
      <c r="H644" t="s">
        <v>1503</v>
      </c>
    </row>
    <row r="645" spans="1:8" ht="15" customHeight="1" x14ac:dyDescent="0.25">
      <c r="A645" t="s">
        <v>1504</v>
      </c>
      <c r="B645" t="s">
        <v>1505</v>
      </c>
      <c r="C645" s="1">
        <v>46141</v>
      </c>
      <c r="D645" s="5">
        <v>38.520000000000003</v>
      </c>
      <c r="E645" t="s">
        <v>558</v>
      </c>
      <c r="F645" t="s">
        <v>1049</v>
      </c>
      <c r="G645" t="s">
        <v>260</v>
      </c>
      <c r="H645" t="s">
        <v>1506</v>
      </c>
    </row>
    <row r="646" spans="1:8" ht="15" customHeight="1" x14ac:dyDescent="0.25">
      <c r="A646" t="s">
        <v>1507</v>
      </c>
      <c r="B646" t="s">
        <v>1508</v>
      </c>
      <c r="C646" s="1">
        <v>46141</v>
      </c>
      <c r="D646" s="5">
        <v>27.52</v>
      </c>
      <c r="E646" t="s">
        <v>558</v>
      </c>
      <c r="F646" t="s">
        <v>1049</v>
      </c>
      <c r="G646" t="s">
        <v>260</v>
      </c>
      <c r="H646" t="s">
        <v>1509</v>
      </c>
    </row>
    <row r="647" spans="1:8" ht="15" customHeight="1" x14ac:dyDescent="0.25">
      <c r="A647" t="s">
        <v>104</v>
      </c>
      <c r="B647" t="s">
        <v>105</v>
      </c>
      <c r="C647" s="1">
        <v>46141</v>
      </c>
      <c r="D647" s="5">
        <v>3.86</v>
      </c>
      <c r="E647" t="s">
        <v>558</v>
      </c>
      <c r="F647" t="s">
        <v>1049</v>
      </c>
      <c r="G647" t="s">
        <v>1502</v>
      </c>
      <c r="H647" t="s">
        <v>1510</v>
      </c>
    </row>
    <row r="648" spans="1:8" ht="15" customHeight="1" x14ac:dyDescent="0.25">
      <c r="A648" t="s">
        <v>409</v>
      </c>
      <c r="B648" t="s">
        <v>410</v>
      </c>
      <c r="C648" s="1">
        <v>46142</v>
      </c>
      <c r="D648" s="5">
        <v>5.52</v>
      </c>
      <c r="E648" t="s">
        <v>558</v>
      </c>
      <c r="F648" t="s">
        <v>1049</v>
      </c>
      <c r="G648" t="s">
        <v>128</v>
      </c>
      <c r="H648" t="s">
        <v>1511</v>
      </c>
    </row>
    <row r="649" spans="1:8" ht="15" customHeight="1" x14ac:dyDescent="0.25">
      <c r="A649" t="s">
        <v>1512</v>
      </c>
      <c r="B649" t="s">
        <v>1513</v>
      </c>
      <c r="C649" s="1">
        <v>46142</v>
      </c>
      <c r="D649" s="5">
        <v>159.51</v>
      </c>
      <c r="E649" t="s">
        <v>558</v>
      </c>
      <c r="F649" t="s">
        <v>1049</v>
      </c>
      <c r="G649" t="s">
        <v>128</v>
      </c>
      <c r="H649" t="s">
        <v>1514</v>
      </c>
    </row>
    <row r="650" spans="1:8" ht="15" customHeight="1" x14ac:dyDescent="0.25">
      <c r="A650" t="s">
        <v>924</v>
      </c>
      <c r="B650" t="s">
        <v>925</v>
      </c>
      <c r="C650" s="1">
        <v>46142</v>
      </c>
      <c r="D650" s="5">
        <v>3.86</v>
      </c>
      <c r="E650" t="s">
        <v>558</v>
      </c>
      <c r="F650" t="s">
        <v>1049</v>
      </c>
      <c r="G650" t="s">
        <v>124</v>
      </c>
      <c r="H650" t="s">
        <v>1515</v>
      </c>
    </row>
    <row r="651" spans="1:8" ht="15" customHeight="1" x14ac:dyDescent="0.25">
      <c r="A651" t="s">
        <v>1516</v>
      </c>
      <c r="B651" t="s">
        <v>1517</v>
      </c>
      <c r="C651" s="1">
        <v>46142</v>
      </c>
      <c r="D651" s="5">
        <v>69.599999999999994</v>
      </c>
      <c r="E651" t="s">
        <v>558</v>
      </c>
      <c r="F651" t="s">
        <v>1049</v>
      </c>
      <c r="G651" t="s">
        <v>124</v>
      </c>
      <c r="H651" t="s">
        <v>1518</v>
      </c>
    </row>
    <row r="652" spans="1:8" ht="15" customHeight="1" x14ac:dyDescent="0.25">
      <c r="A652" t="s">
        <v>1519</v>
      </c>
      <c r="B652" t="s">
        <v>1171</v>
      </c>
      <c r="C652" s="1">
        <v>46142</v>
      </c>
      <c r="D652" s="5">
        <v>5.52</v>
      </c>
      <c r="E652" t="s">
        <v>558</v>
      </c>
      <c r="F652" t="s">
        <v>1049</v>
      </c>
      <c r="G652" t="s">
        <v>128</v>
      </c>
      <c r="H652" t="s">
        <v>1520</v>
      </c>
    </row>
    <row r="653" spans="1:8" ht="15" customHeight="1" x14ac:dyDescent="0.25">
      <c r="A653" t="s">
        <v>1521</v>
      </c>
      <c r="B653" t="s">
        <v>1522</v>
      </c>
      <c r="C653" s="1">
        <v>46142</v>
      </c>
      <c r="D653" s="5">
        <v>3</v>
      </c>
      <c r="E653" t="s">
        <v>558</v>
      </c>
      <c r="F653" t="s">
        <v>1049</v>
      </c>
      <c r="G653" t="s">
        <v>124</v>
      </c>
      <c r="H653" t="s">
        <v>1523</v>
      </c>
    </row>
    <row r="654" spans="1:8" ht="15" customHeight="1" x14ac:dyDescent="0.25">
      <c r="A654" t="s">
        <v>15</v>
      </c>
      <c r="B654" t="s">
        <v>383</v>
      </c>
      <c r="C654" s="1">
        <v>46142</v>
      </c>
      <c r="D654" s="5">
        <v>5.52</v>
      </c>
      <c r="E654" t="s">
        <v>558</v>
      </c>
      <c r="F654" t="s">
        <v>1049</v>
      </c>
      <c r="G654" t="s">
        <v>128</v>
      </c>
      <c r="H654" t="s">
        <v>1524</v>
      </c>
    </row>
    <row r="655" spans="1:8" ht="15" customHeight="1" x14ac:dyDescent="0.25">
      <c r="A655" t="s">
        <v>955</v>
      </c>
      <c r="B655" t="s">
        <v>956</v>
      </c>
      <c r="C655" s="1">
        <v>46142</v>
      </c>
      <c r="D655" s="5">
        <v>5.52</v>
      </c>
      <c r="E655" t="s">
        <v>558</v>
      </c>
      <c r="F655" t="s">
        <v>1049</v>
      </c>
      <c r="G655" t="s">
        <v>135</v>
      </c>
      <c r="H655" t="s">
        <v>1525</v>
      </c>
    </row>
    <row r="656" spans="1:8" ht="15" customHeight="1" x14ac:dyDescent="0.25">
      <c r="A656" t="s">
        <v>1526</v>
      </c>
      <c r="B656" t="s">
        <v>1527</v>
      </c>
      <c r="C656" s="1">
        <v>46142</v>
      </c>
      <c r="D656" s="5">
        <v>5.52</v>
      </c>
      <c r="E656" t="s">
        <v>558</v>
      </c>
      <c r="F656" t="s">
        <v>1049</v>
      </c>
      <c r="G656" t="s">
        <v>128</v>
      </c>
      <c r="H656" t="s">
        <v>1528</v>
      </c>
    </row>
    <row r="657" spans="1:8" ht="15" customHeight="1" x14ac:dyDescent="0.25">
      <c r="A657" t="s">
        <v>1529</v>
      </c>
      <c r="B657" t="s">
        <v>1530</v>
      </c>
      <c r="C657" s="1">
        <v>46142</v>
      </c>
      <c r="D657" s="5">
        <v>3.68</v>
      </c>
      <c r="E657" t="s">
        <v>558</v>
      </c>
      <c r="F657" t="s">
        <v>1049</v>
      </c>
      <c r="G657" t="s">
        <v>264</v>
      </c>
      <c r="H657" t="s">
        <v>1531</v>
      </c>
    </row>
    <row r="658" spans="1:8" ht="15" customHeight="1" x14ac:dyDescent="0.25">
      <c r="A658" t="s">
        <v>1532</v>
      </c>
      <c r="B658" t="s">
        <v>1533</v>
      </c>
      <c r="C658" s="1">
        <v>46142</v>
      </c>
      <c r="D658" s="5">
        <f>127.6+23</f>
        <v>150.6</v>
      </c>
      <c r="E658" t="s">
        <v>558</v>
      </c>
      <c r="F658" t="s">
        <v>1049</v>
      </c>
      <c r="G658" t="s">
        <v>128</v>
      </c>
      <c r="H658" t="s">
        <v>1534</v>
      </c>
    </row>
    <row r="659" spans="1:8" ht="15" customHeight="1" x14ac:dyDescent="0.25">
      <c r="A659" t="s">
        <v>1532</v>
      </c>
      <c r="B659" t="s">
        <v>1533</v>
      </c>
      <c r="C659" s="1">
        <v>46142</v>
      </c>
      <c r="D659" s="5">
        <f>12.84*2+120.99</f>
        <v>146.66999999999999</v>
      </c>
      <c r="E659" t="s">
        <v>558</v>
      </c>
      <c r="F659" t="s">
        <v>1049</v>
      </c>
      <c r="G659" t="s">
        <v>128</v>
      </c>
      <c r="H659" t="s">
        <v>1535</v>
      </c>
    </row>
    <row r="660" spans="1:8" ht="15" customHeight="1" x14ac:dyDescent="0.25">
      <c r="A660" t="s">
        <v>1536</v>
      </c>
      <c r="B660" t="s">
        <v>1537</v>
      </c>
      <c r="C660" s="1">
        <v>46142</v>
      </c>
      <c r="D660" s="5">
        <v>3.86</v>
      </c>
      <c r="E660" t="s">
        <v>558</v>
      </c>
      <c r="F660" t="s">
        <v>1049</v>
      </c>
      <c r="G660" t="s">
        <v>183</v>
      </c>
      <c r="H660" t="s">
        <v>1538</v>
      </c>
    </row>
    <row r="661" spans="1:8" ht="15" customHeight="1" x14ac:dyDescent="0.25">
      <c r="A661" t="s">
        <v>633</v>
      </c>
      <c r="B661" t="s">
        <v>634</v>
      </c>
      <c r="C661" s="1">
        <v>46142</v>
      </c>
      <c r="D661" s="5">
        <v>5.52</v>
      </c>
      <c r="E661" t="s">
        <v>558</v>
      </c>
      <c r="F661" t="s">
        <v>1049</v>
      </c>
      <c r="G661" t="s">
        <v>128</v>
      </c>
      <c r="H661" t="s">
        <v>1539</v>
      </c>
    </row>
    <row r="662" spans="1:8" ht="15" customHeight="1" x14ac:dyDescent="0.25">
      <c r="A662" t="s">
        <v>1540</v>
      </c>
      <c r="B662" t="s">
        <v>1541</v>
      </c>
      <c r="C662" s="1">
        <v>46142</v>
      </c>
      <c r="D662" s="5">
        <v>146.67599999999999</v>
      </c>
      <c r="E662" t="s">
        <v>558</v>
      </c>
      <c r="F662" t="s">
        <v>1049</v>
      </c>
      <c r="G662" t="s">
        <v>128</v>
      </c>
      <c r="H662" t="s">
        <v>1542</v>
      </c>
    </row>
    <row r="663" spans="1:8" ht="15" customHeight="1" x14ac:dyDescent="0.25">
      <c r="A663" t="s">
        <v>613</v>
      </c>
      <c r="B663" t="s">
        <v>614</v>
      </c>
      <c r="C663" s="1">
        <v>46142</v>
      </c>
      <c r="D663" s="5">
        <v>3</v>
      </c>
      <c r="E663" t="s">
        <v>558</v>
      </c>
      <c r="F663" t="s">
        <v>1049</v>
      </c>
      <c r="G663" t="s">
        <v>117</v>
      </c>
      <c r="H663" t="s">
        <v>1543</v>
      </c>
    </row>
    <row r="664" spans="1:8" ht="15" customHeight="1" x14ac:dyDescent="0.25">
      <c r="A664" t="s">
        <v>981</v>
      </c>
      <c r="B664" t="s">
        <v>982</v>
      </c>
      <c r="C664" s="1">
        <v>46142</v>
      </c>
      <c r="D664" s="5">
        <v>3</v>
      </c>
      <c r="E664" t="s">
        <v>558</v>
      </c>
      <c r="F664" t="s">
        <v>1049</v>
      </c>
      <c r="G664" t="s">
        <v>117</v>
      </c>
      <c r="H664" t="s">
        <v>1544</v>
      </c>
    </row>
    <row r="665" spans="1:8" ht="15" customHeight="1" x14ac:dyDescent="0.25">
      <c r="A665" t="s">
        <v>1052</v>
      </c>
      <c r="B665" t="s">
        <v>989</v>
      </c>
      <c r="C665" s="1">
        <v>46142</v>
      </c>
      <c r="D665" s="5">
        <v>5.52</v>
      </c>
      <c r="E665" t="s">
        <v>558</v>
      </c>
      <c r="F665" t="s">
        <v>1049</v>
      </c>
      <c r="G665" t="s">
        <v>231</v>
      </c>
      <c r="H665" t="s">
        <v>1545</v>
      </c>
    </row>
    <row r="666" spans="1:8" ht="15" customHeight="1" x14ac:dyDescent="0.25">
      <c r="A666" t="s">
        <v>1484</v>
      </c>
      <c r="B666" t="s">
        <v>1485</v>
      </c>
      <c r="C666" s="1">
        <v>46142</v>
      </c>
      <c r="D666" s="5">
        <v>5.52</v>
      </c>
      <c r="E666" t="s">
        <v>558</v>
      </c>
      <c r="F666" t="s">
        <v>1049</v>
      </c>
      <c r="G666" t="s">
        <v>222</v>
      </c>
      <c r="H666" t="s">
        <v>1546</v>
      </c>
    </row>
    <row r="667" spans="1:8" ht="15" customHeight="1" x14ac:dyDescent="0.25">
      <c r="A667" t="s">
        <v>1547</v>
      </c>
      <c r="B667" t="s">
        <v>1548</v>
      </c>
      <c r="C667" s="1">
        <v>46142</v>
      </c>
      <c r="D667" s="5">
        <v>89.64</v>
      </c>
      <c r="E667" t="s">
        <v>558</v>
      </c>
      <c r="F667" t="s">
        <v>1049</v>
      </c>
      <c r="G667" t="s">
        <v>183</v>
      </c>
      <c r="H667" t="s">
        <v>1549</v>
      </c>
    </row>
    <row r="668" spans="1:8" ht="15" customHeight="1" x14ac:dyDescent="0.25">
      <c r="A668" t="s">
        <v>576</v>
      </c>
      <c r="B668" t="s">
        <v>577</v>
      </c>
      <c r="C668" s="1">
        <v>46143</v>
      </c>
      <c r="D668" s="5">
        <v>3</v>
      </c>
      <c r="E668" t="s">
        <v>558</v>
      </c>
      <c r="F668" t="s">
        <v>1049</v>
      </c>
      <c r="G668" t="s">
        <v>124</v>
      </c>
      <c r="H668" t="s">
        <v>1550</v>
      </c>
    </row>
    <row r="669" spans="1:8" ht="15" customHeight="1" x14ac:dyDescent="0.25">
      <c r="A669" t="s">
        <v>1551</v>
      </c>
      <c r="B669" t="s">
        <v>1552</v>
      </c>
      <c r="C669" s="1">
        <v>46143</v>
      </c>
      <c r="D669" s="5">
        <v>36.08</v>
      </c>
      <c r="E669" t="s">
        <v>558</v>
      </c>
      <c r="F669" t="s">
        <v>1049</v>
      </c>
      <c r="G669" t="s">
        <v>260</v>
      </c>
      <c r="H669" t="s">
        <v>1553</v>
      </c>
    </row>
    <row r="670" spans="1:8" ht="15" customHeight="1" x14ac:dyDescent="0.25">
      <c r="A670" t="s">
        <v>1554</v>
      </c>
      <c r="B670" t="s">
        <v>1555</v>
      </c>
      <c r="C670" s="1">
        <v>46144</v>
      </c>
      <c r="D670" s="5">
        <v>136.76</v>
      </c>
      <c r="E670" t="s">
        <v>558</v>
      </c>
      <c r="F670" t="s">
        <v>1049</v>
      </c>
      <c r="G670" t="s">
        <v>264</v>
      </c>
      <c r="H670" t="s">
        <v>1556</v>
      </c>
    </row>
    <row r="671" spans="1:8" ht="15" customHeight="1" x14ac:dyDescent="0.25">
      <c r="A671" t="s">
        <v>1557</v>
      </c>
      <c r="B671" t="s">
        <v>1558</v>
      </c>
      <c r="C671" s="1">
        <v>46144</v>
      </c>
      <c r="D671" s="5">
        <v>136.76</v>
      </c>
      <c r="E671" t="s">
        <v>558</v>
      </c>
      <c r="F671" t="s">
        <v>1049</v>
      </c>
      <c r="G671" t="s">
        <v>264</v>
      </c>
      <c r="H671" t="s">
        <v>1559</v>
      </c>
    </row>
    <row r="672" spans="1:8" ht="15" customHeight="1" x14ac:dyDescent="0.25">
      <c r="A672" t="s">
        <v>1560</v>
      </c>
      <c r="B672" t="s">
        <v>1561</v>
      </c>
      <c r="C672" s="1">
        <v>46144</v>
      </c>
      <c r="D672" s="5">
        <v>17.61</v>
      </c>
      <c r="E672" t="s">
        <v>558</v>
      </c>
      <c r="F672" t="s">
        <v>1049</v>
      </c>
      <c r="G672" t="s">
        <v>264</v>
      </c>
      <c r="H672" t="s">
        <v>1562</v>
      </c>
    </row>
    <row r="673" spans="1:8" ht="15" customHeight="1" x14ac:dyDescent="0.25">
      <c r="A673" t="s">
        <v>1563</v>
      </c>
      <c r="B673" t="s">
        <v>1564</v>
      </c>
      <c r="C673" s="1">
        <v>46144</v>
      </c>
      <c r="D673" s="5">
        <v>131.38999999999999</v>
      </c>
      <c r="E673" t="s">
        <v>558</v>
      </c>
      <c r="F673" t="s">
        <v>1049</v>
      </c>
      <c r="G673" t="s">
        <v>292</v>
      </c>
      <c r="H673" t="s">
        <v>1565</v>
      </c>
    </row>
    <row r="674" spans="1:8" ht="15" customHeight="1" x14ac:dyDescent="0.25">
      <c r="A674" t="s">
        <v>1471</v>
      </c>
      <c r="B674" t="s">
        <v>1472</v>
      </c>
      <c r="C674" s="1">
        <v>46144</v>
      </c>
      <c r="D674" s="5">
        <v>5.52</v>
      </c>
      <c r="E674" t="s">
        <v>558</v>
      </c>
      <c r="F674" t="s">
        <v>1049</v>
      </c>
      <c r="G674" t="s">
        <v>222</v>
      </c>
      <c r="H674" t="s">
        <v>1566</v>
      </c>
    </row>
    <row r="675" spans="1:8" ht="15" customHeight="1" x14ac:dyDescent="0.25">
      <c r="A675" t="s">
        <v>659</v>
      </c>
      <c r="B675" t="s">
        <v>660</v>
      </c>
      <c r="C675" s="1">
        <v>46144</v>
      </c>
      <c r="D675" s="5">
        <v>87</v>
      </c>
      <c r="E675" t="s">
        <v>558</v>
      </c>
      <c r="F675" t="s">
        <v>1049</v>
      </c>
      <c r="G675" t="s">
        <v>124</v>
      </c>
      <c r="H675" t="s">
        <v>1567</v>
      </c>
    </row>
    <row r="676" spans="1:8" ht="15" customHeight="1" x14ac:dyDescent="0.25">
      <c r="A676" t="s">
        <v>1568</v>
      </c>
      <c r="B676" t="s">
        <v>1569</v>
      </c>
      <c r="C676" s="1">
        <v>46144</v>
      </c>
      <c r="D676" s="5">
        <v>3.68</v>
      </c>
      <c r="E676" t="s">
        <v>558</v>
      </c>
      <c r="F676" t="s">
        <v>1049</v>
      </c>
      <c r="G676" t="s">
        <v>264</v>
      </c>
      <c r="H676" t="s">
        <v>1570</v>
      </c>
    </row>
    <row r="677" spans="1:8" ht="15" customHeight="1" x14ac:dyDescent="0.25">
      <c r="A677" t="s">
        <v>1571</v>
      </c>
      <c r="B677" t="s">
        <v>1572</v>
      </c>
      <c r="C677" s="1">
        <v>46145</v>
      </c>
      <c r="D677" s="5">
        <v>20.8</v>
      </c>
      <c r="E677" t="s">
        <v>558</v>
      </c>
      <c r="F677" t="s">
        <v>1049</v>
      </c>
      <c r="G677" t="s">
        <v>369</v>
      </c>
      <c r="H677" t="s">
        <v>1573</v>
      </c>
    </row>
    <row r="678" spans="1:8" ht="15" customHeight="1" x14ac:dyDescent="0.25">
      <c r="A678" t="s">
        <v>1574</v>
      </c>
      <c r="B678" t="s">
        <v>445</v>
      </c>
      <c r="C678" s="1">
        <v>46145</v>
      </c>
      <c r="D678" s="5">
        <v>3.68</v>
      </c>
      <c r="E678" t="s">
        <v>558</v>
      </c>
      <c r="F678" t="s">
        <v>1049</v>
      </c>
      <c r="G678" t="s">
        <v>309</v>
      </c>
      <c r="H678" t="s">
        <v>1575</v>
      </c>
    </row>
    <row r="679" spans="1:8" ht="15" customHeight="1" x14ac:dyDescent="0.25">
      <c r="A679" t="s">
        <v>1576</v>
      </c>
      <c r="B679" t="s">
        <v>1577</v>
      </c>
      <c r="C679" s="1">
        <v>46145</v>
      </c>
      <c r="D679" s="5">
        <v>3.68</v>
      </c>
      <c r="E679" t="s">
        <v>558</v>
      </c>
      <c r="F679" t="s">
        <v>1049</v>
      </c>
      <c r="G679" t="s">
        <v>309</v>
      </c>
      <c r="H679" t="s">
        <v>1578</v>
      </c>
    </row>
    <row r="680" spans="1:8" ht="15" customHeight="1" x14ac:dyDescent="0.25">
      <c r="A680" t="s">
        <v>1579</v>
      </c>
      <c r="B680" t="s">
        <v>1580</v>
      </c>
      <c r="C680" s="1">
        <v>46145</v>
      </c>
      <c r="D680" s="5">
        <v>31.54</v>
      </c>
      <c r="E680" t="s">
        <v>558</v>
      </c>
      <c r="F680" t="s">
        <v>1049</v>
      </c>
      <c r="G680" s="3" t="s">
        <v>264</v>
      </c>
      <c r="H680" t="s">
        <v>1581</v>
      </c>
    </row>
    <row r="681" spans="1:8" ht="15" customHeight="1" x14ac:dyDescent="0.25">
      <c r="A681" t="s">
        <v>1582</v>
      </c>
      <c r="B681" t="s">
        <v>1583</v>
      </c>
      <c r="C681" s="1">
        <v>46146</v>
      </c>
      <c r="D681" s="5">
        <v>15.77</v>
      </c>
      <c r="E681" t="s">
        <v>558</v>
      </c>
      <c r="F681" t="s">
        <v>1049</v>
      </c>
      <c r="G681" t="s">
        <v>264</v>
      </c>
      <c r="H681" t="s">
        <v>1584</v>
      </c>
    </row>
    <row r="682" spans="1:8" ht="15" customHeight="1" x14ac:dyDescent="0.25">
      <c r="A682" t="s">
        <v>275</v>
      </c>
      <c r="B682" t="s">
        <v>62</v>
      </c>
      <c r="C682" s="1">
        <v>46146</v>
      </c>
      <c r="D682" s="5">
        <v>3</v>
      </c>
      <c r="E682" t="s">
        <v>558</v>
      </c>
      <c r="F682" t="s">
        <v>1049</v>
      </c>
      <c r="G682" t="s">
        <v>124</v>
      </c>
      <c r="H682" t="s">
        <v>1585</v>
      </c>
    </row>
    <row r="683" spans="1:8" ht="15" customHeight="1" x14ac:dyDescent="0.25">
      <c r="A683" t="s">
        <v>1586</v>
      </c>
      <c r="B683" t="s">
        <v>1587</v>
      </c>
      <c r="C683" s="1">
        <v>46146</v>
      </c>
      <c r="D683" s="5">
        <v>3.86</v>
      </c>
      <c r="E683" t="s">
        <v>558</v>
      </c>
      <c r="F683" t="s">
        <v>1049</v>
      </c>
      <c r="G683" t="s">
        <v>183</v>
      </c>
      <c r="H683" t="s">
        <v>1588</v>
      </c>
    </row>
    <row r="684" spans="1:8" ht="15" customHeight="1" x14ac:dyDescent="0.25">
      <c r="A684" t="s">
        <v>1547</v>
      </c>
      <c r="B684" t="s">
        <v>1548</v>
      </c>
      <c r="C684" s="1">
        <v>46146</v>
      </c>
      <c r="D684" s="5">
        <v>3.86</v>
      </c>
      <c r="E684" t="s">
        <v>558</v>
      </c>
      <c r="F684" t="s">
        <v>1049</v>
      </c>
      <c r="G684" t="s">
        <v>148</v>
      </c>
      <c r="H684" t="s">
        <v>1589</v>
      </c>
    </row>
    <row r="685" spans="1:8" ht="15" customHeight="1" x14ac:dyDescent="0.25">
      <c r="A685" t="s">
        <v>1536</v>
      </c>
      <c r="B685" t="s">
        <v>1537</v>
      </c>
      <c r="C685" s="1">
        <v>46146</v>
      </c>
      <c r="D685" s="5">
        <v>3.86</v>
      </c>
      <c r="E685" t="s">
        <v>558</v>
      </c>
      <c r="F685" t="s">
        <v>1049</v>
      </c>
      <c r="G685" t="s">
        <v>148</v>
      </c>
      <c r="H685" t="s">
        <v>1590</v>
      </c>
    </row>
    <row r="686" spans="1:8" ht="15" customHeight="1" x14ac:dyDescent="0.25">
      <c r="A686" t="s">
        <v>1591</v>
      </c>
      <c r="B686" t="s">
        <v>1592</v>
      </c>
      <c r="C686" s="1">
        <v>46146</v>
      </c>
      <c r="D686" s="5">
        <v>25.68</v>
      </c>
      <c r="E686" t="s">
        <v>558</v>
      </c>
      <c r="F686" t="s">
        <v>1049</v>
      </c>
      <c r="G686" t="s">
        <v>260</v>
      </c>
      <c r="H686" t="s">
        <v>1593</v>
      </c>
    </row>
    <row r="687" spans="1:8" ht="15" customHeight="1" x14ac:dyDescent="0.25">
      <c r="A687" t="s">
        <v>104</v>
      </c>
      <c r="B687" t="s">
        <v>105</v>
      </c>
      <c r="C687" s="1">
        <v>46146</v>
      </c>
      <c r="D687" s="5">
        <v>3.86</v>
      </c>
      <c r="E687" t="s">
        <v>558</v>
      </c>
      <c r="F687" t="s">
        <v>1049</v>
      </c>
      <c r="G687" t="s">
        <v>148</v>
      </c>
      <c r="H687" t="s">
        <v>1594</v>
      </c>
    </row>
    <row r="688" spans="1:8" ht="15" customHeight="1" x14ac:dyDescent="0.25">
      <c r="A688" t="s">
        <v>385</v>
      </c>
      <c r="B688" t="s">
        <v>386</v>
      </c>
      <c r="C688" s="1">
        <v>46146</v>
      </c>
      <c r="D688" s="5">
        <v>26</v>
      </c>
      <c r="E688" t="s">
        <v>558</v>
      </c>
      <c r="F688" t="s">
        <v>1049</v>
      </c>
      <c r="G688" t="s">
        <v>128</v>
      </c>
      <c r="H688" t="s">
        <v>1595</v>
      </c>
    </row>
    <row r="689" spans="1:8" ht="15" customHeight="1" x14ac:dyDescent="0.25">
      <c r="A689" t="s">
        <v>156</v>
      </c>
      <c r="B689" t="s">
        <v>157</v>
      </c>
      <c r="C689" s="1">
        <v>46146</v>
      </c>
      <c r="D689" s="5">
        <v>3.86</v>
      </c>
      <c r="E689" t="s">
        <v>558</v>
      </c>
      <c r="F689" t="s">
        <v>1049</v>
      </c>
      <c r="G689" t="s">
        <v>148</v>
      </c>
      <c r="H689" t="s">
        <v>1596</v>
      </c>
    </row>
    <row r="690" spans="1:8" ht="15" customHeight="1" x14ac:dyDescent="0.25">
      <c r="A690" t="s">
        <v>371</v>
      </c>
      <c r="B690" t="s">
        <v>372</v>
      </c>
      <c r="C690" s="1">
        <v>46146</v>
      </c>
      <c r="D690" s="5">
        <v>38.520000000000003</v>
      </c>
      <c r="E690" t="s">
        <v>558</v>
      </c>
      <c r="F690" t="s">
        <v>1049</v>
      </c>
      <c r="G690" t="s">
        <v>128</v>
      </c>
      <c r="H690" t="s">
        <v>1597</v>
      </c>
    </row>
    <row r="691" spans="1:8" ht="15" customHeight="1" x14ac:dyDescent="0.25">
      <c r="A691" t="s">
        <v>1598</v>
      </c>
      <c r="B691" t="s">
        <v>1599</v>
      </c>
      <c r="C691" s="1">
        <v>46146</v>
      </c>
      <c r="D691" s="5">
        <v>146.66999999999999</v>
      </c>
      <c r="E691" t="s">
        <v>558</v>
      </c>
      <c r="F691" t="s">
        <v>1049</v>
      </c>
      <c r="G691" t="s">
        <v>128</v>
      </c>
      <c r="H691" t="s">
        <v>1600</v>
      </c>
    </row>
    <row r="692" spans="1:8" ht="15" customHeight="1" x14ac:dyDescent="0.25">
      <c r="A692" t="s">
        <v>1598</v>
      </c>
      <c r="B692" t="s">
        <v>1599</v>
      </c>
      <c r="C692" s="1">
        <v>46146</v>
      </c>
      <c r="D692" s="5">
        <v>150.6</v>
      </c>
      <c r="E692" t="s">
        <v>558</v>
      </c>
      <c r="F692" t="s">
        <v>1049</v>
      </c>
      <c r="G692" t="s">
        <v>128</v>
      </c>
      <c r="H692" t="s">
        <v>1601</v>
      </c>
    </row>
    <row r="693" spans="1:8" ht="15" customHeight="1" x14ac:dyDescent="0.25">
      <c r="A693" t="s">
        <v>1602</v>
      </c>
      <c r="B693" t="s">
        <v>1603</v>
      </c>
      <c r="C693" s="1">
        <v>46146</v>
      </c>
      <c r="D693" s="5">
        <v>146.66999999999999</v>
      </c>
      <c r="E693" t="s">
        <v>558</v>
      </c>
      <c r="F693" t="s">
        <v>1049</v>
      </c>
      <c r="G693" t="s">
        <v>128</v>
      </c>
      <c r="H693" t="s">
        <v>1604</v>
      </c>
    </row>
    <row r="694" spans="1:8" ht="15" customHeight="1" x14ac:dyDescent="0.25">
      <c r="A694" t="s">
        <v>353</v>
      </c>
      <c r="B694" t="s">
        <v>354</v>
      </c>
      <c r="C694" s="1">
        <v>46146</v>
      </c>
      <c r="D694" s="5">
        <v>3.68</v>
      </c>
      <c r="E694" t="s">
        <v>558</v>
      </c>
      <c r="F694" t="s">
        <v>1049</v>
      </c>
      <c r="G694" t="s">
        <v>292</v>
      </c>
      <c r="H694" t="s">
        <v>1605</v>
      </c>
    </row>
    <row r="695" spans="1:8" ht="15" customHeight="1" x14ac:dyDescent="0.25">
      <c r="A695" t="s">
        <v>1606</v>
      </c>
      <c r="B695" t="s">
        <v>1607</v>
      </c>
      <c r="C695" s="1">
        <v>46146</v>
      </c>
      <c r="D695" s="5">
        <v>141.79</v>
      </c>
      <c r="E695" t="s">
        <v>558</v>
      </c>
      <c r="F695" t="s">
        <v>1049</v>
      </c>
      <c r="G695" t="s">
        <v>1085</v>
      </c>
      <c r="H695" t="s">
        <v>1608</v>
      </c>
    </row>
    <row r="696" spans="1:8" ht="15" customHeight="1" x14ac:dyDescent="0.25">
      <c r="A696" t="s">
        <v>1609</v>
      </c>
      <c r="B696" t="s">
        <v>1610</v>
      </c>
      <c r="C696" s="1">
        <v>46146</v>
      </c>
      <c r="D696" s="5">
        <v>26</v>
      </c>
      <c r="E696" t="s">
        <v>558</v>
      </c>
      <c r="F696" t="s">
        <v>1049</v>
      </c>
      <c r="G696" t="s">
        <v>128</v>
      </c>
      <c r="H696" t="s">
        <v>1611</v>
      </c>
    </row>
    <row r="697" spans="1:8" ht="15" customHeight="1" x14ac:dyDescent="0.25">
      <c r="A697" t="s">
        <v>435</v>
      </c>
      <c r="B697" t="s">
        <v>436</v>
      </c>
      <c r="C697" s="1">
        <v>46146</v>
      </c>
      <c r="D697" s="5">
        <v>3</v>
      </c>
      <c r="E697" t="s">
        <v>558</v>
      </c>
      <c r="F697" t="s">
        <v>1049</v>
      </c>
      <c r="G697" t="s">
        <v>117</v>
      </c>
      <c r="H697" t="s">
        <v>1612</v>
      </c>
    </row>
    <row r="698" spans="1:8" ht="15" customHeight="1" x14ac:dyDescent="0.25">
      <c r="A698" t="s">
        <v>583</v>
      </c>
      <c r="B698" t="s">
        <v>584</v>
      </c>
      <c r="C698" s="1">
        <v>46146</v>
      </c>
      <c r="D698" s="5">
        <v>3</v>
      </c>
      <c r="E698" t="s">
        <v>558</v>
      </c>
      <c r="F698" t="s">
        <v>1049</v>
      </c>
      <c r="G698" t="s">
        <v>117</v>
      </c>
      <c r="H698" t="s">
        <v>1613</v>
      </c>
    </row>
    <row r="699" spans="1:8" ht="15" customHeight="1" x14ac:dyDescent="0.25">
      <c r="A699" t="s">
        <v>1267</v>
      </c>
      <c r="B699" t="s">
        <v>404</v>
      </c>
      <c r="C699" s="1">
        <v>46146</v>
      </c>
      <c r="D699" s="5">
        <v>3</v>
      </c>
      <c r="E699" t="s">
        <v>558</v>
      </c>
      <c r="F699" t="s">
        <v>1049</v>
      </c>
      <c r="G699" t="s">
        <v>117</v>
      </c>
      <c r="H699" t="s">
        <v>1614</v>
      </c>
    </row>
    <row r="700" spans="1:8" ht="15" customHeight="1" x14ac:dyDescent="0.25">
      <c r="A700" t="s">
        <v>1269</v>
      </c>
      <c r="B700" t="s">
        <v>1270</v>
      </c>
      <c r="C700" s="1">
        <v>46146</v>
      </c>
      <c r="D700" s="5">
        <v>3</v>
      </c>
      <c r="E700" t="s">
        <v>558</v>
      </c>
      <c r="F700" t="s">
        <v>1049</v>
      </c>
      <c r="G700" t="s">
        <v>117</v>
      </c>
      <c r="H700" t="s">
        <v>1615</v>
      </c>
    </row>
    <row r="701" spans="1:8" ht="15" customHeight="1" x14ac:dyDescent="0.25">
      <c r="A701" t="s">
        <v>1159</v>
      </c>
      <c r="B701" t="s">
        <v>108</v>
      </c>
      <c r="C701" s="1">
        <v>46146</v>
      </c>
      <c r="D701" s="5">
        <v>69.599999999999994</v>
      </c>
      <c r="E701" t="s">
        <v>558</v>
      </c>
      <c r="F701" t="s">
        <v>1049</v>
      </c>
      <c r="G701" t="s">
        <v>395</v>
      </c>
      <c r="H701" t="s">
        <v>1616</v>
      </c>
    </row>
    <row r="702" spans="1:8" ht="15" customHeight="1" x14ac:dyDescent="0.25">
      <c r="A702" t="s">
        <v>1063</v>
      </c>
      <c r="B702" t="s">
        <v>1617</v>
      </c>
      <c r="C702" s="1">
        <v>46146</v>
      </c>
      <c r="D702" s="5">
        <v>5.52</v>
      </c>
      <c r="E702" t="s">
        <v>558</v>
      </c>
      <c r="F702" t="s">
        <v>1049</v>
      </c>
      <c r="G702" t="s">
        <v>292</v>
      </c>
      <c r="H702" t="s">
        <v>1618</v>
      </c>
    </row>
    <row r="703" spans="1:8" ht="15" customHeight="1" x14ac:dyDescent="0.25">
      <c r="A703" t="s">
        <v>1292</v>
      </c>
      <c r="B703" t="s">
        <v>1619</v>
      </c>
      <c r="C703" s="1">
        <v>46146</v>
      </c>
      <c r="D703" s="5">
        <v>38.520000000000003</v>
      </c>
      <c r="E703" t="s">
        <v>558</v>
      </c>
      <c r="F703" t="s">
        <v>1049</v>
      </c>
      <c r="G703" t="s">
        <v>222</v>
      </c>
      <c r="H703" t="s">
        <v>1620</v>
      </c>
    </row>
    <row r="704" spans="1:8" ht="15" customHeight="1" x14ac:dyDescent="0.25">
      <c r="A704" t="s">
        <v>171</v>
      </c>
      <c r="B704" t="s">
        <v>172</v>
      </c>
      <c r="C704" s="1">
        <v>46146</v>
      </c>
      <c r="D704" s="5">
        <v>3.86</v>
      </c>
      <c r="E704" t="s">
        <v>558</v>
      </c>
      <c r="F704" t="s">
        <v>1049</v>
      </c>
      <c r="G704" t="s">
        <v>148</v>
      </c>
      <c r="H704" t="s">
        <v>1621</v>
      </c>
    </row>
    <row r="705" spans="1:8" ht="15" customHeight="1" x14ac:dyDescent="0.25">
      <c r="A705" t="s">
        <v>146</v>
      </c>
      <c r="B705" t="s">
        <v>147</v>
      </c>
      <c r="C705" s="1">
        <v>46146</v>
      </c>
      <c r="D705" s="5">
        <v>3.86</v>
      </c>
      <c r="E705" t="s">
        <v>558</v>
      </c>
      <c r="F705" t="s">
        <v>1049</v>
      </c>
      <c r="G705" t="s">
        <v>148</v>
      </c>
      <c r="H705" t="s">
        <v>1622</v>
      </c>
    </row>
    <row r="706" spans="1:8" ht="15" customHeight="1" x14ac:dyDescent="0.25">
      <c r="A706" t="s">
        <v>1623</v>
      </c>
      <c r="B706" t="s">
        <v>1624</v>
      </c>
      <c r="C706" s="1">
        <v>46146</v>
      </c>
      <c r="D706" s="5">
        <v>5.52</v>
      </c>
      <c r="E706" t="s">
        <v>558</v>
      </c>
      <c r="F706" t="s">
        <v>1049</v>
      </c>
      <c r="G706" t="s">
        <v>292</v>
      </c>
      <c r="H706" t="s">
        <v>1625</v>
      </c>
    </row>
    <row r="707" spans="1:8" ht="15" customHeight="1" x14ac:dyDescent="0.25">
      <c r="A707" t="s">
        <v>1626</v>
      </c>
      <c r="B707" t="s">
        <v>1627</v>
      </c>
      <c r="C707" s="1">
        <v>46146</v>
      </c>
      <c r="D707" s="5">
        <v>131.38999999999999</v>
      </c>
      <c r="E707" t="s">
        <v>558</v>
      </c>
      <c r="F707" t="s">
        <v>1049</v>
      </c>
      <c r="G707" t="s">
        <v>468</v>
      </c>
      <c r="H707" t="s">
        <v>1628</v>
      </c>
    </row>
    <row r="708" spans="1:8" ht="15" customHeight="1" x14ac:dyDescent="0.25">
      <c r="A708" t="s">
        <v>287</v>
      </c>
      <c r="B708" t="s">
        <v>288</v>
      </c>
      <c r="C708" s="1">
        <v>46146</v>
      </c>
      <c r="D708" s="5">
        <v>52.2</v>
      </c>
      <c r="E708" t="s">
        <v>558</v>
      </c>
      <c r="F708" t="s">
        <v>1049</v>
      </c>
      <c r="G708" t="s">
        <v>117</v>
      </c>
      <c r="H708" t="s">
        <v>1629</v>
      </c>
    </row>
    <row r="709" spans="1:8" ht="15" customHeight="1" x14ac:dyDescent="0.25">
      <c r="A709" t="s">
        <v>1630</v>
      </c>
      <c r="B709" t="s">
        <v>1631</v>
      </c>
      <c r="C709" s="1">
        <v>46146</v>
      </c>
      <c r="D709" s="5">
        <v>38.520000000000003</v>
      </c>
      <c r="E709" t="s">
        <v>558</v>
      </c>
      <c r="F709" t="s">
        <v>1049</v>
      </c>
      <c r="G709" t="s">
        <v>260</v>
      </c>
      <c r="H709" t="s">
        <v>1632</v>
      </c>
    </row>
    <row r="710" spans="1:8" ht="15" customHeight="1" x14ac:dyDescent="0.25">
      <c r="A710" t="s">
        <v>1633</v>
      </c>
      <c r="B710" t="s">
        <v>1634</v>
      </c>
      <c r="C710" s="1">
        <v>46146</v>
      </c>
      <c r="D710" s="5">
        <v>25.68</v>
      </c>
      <c r="E710" t="s">
        <v>558</v>
      </c>
      <c r="F710" t="s">
        <v>1049</v>
      </c>
      <c r="G710" t="s">
        <v>239</v>
      </c>
      <c r="H710" t="s">
        <v>1635</v>
      </c>
    </row>
    <row r="711" spans="1:8" ht="15" customHeight="1" x14ac:dyDescent="0.25">
      <c r="A711" t="s">
        <v>1636</v>
      </c>
      <c r="B711" t="s">
        <v>1637</v>
      </c>
      <c r="C711" s="1">
        <v>46147</v>
      </c>
      <c r="D711" s="5">
        <v>3.68</v>
      </c>
      <c r="E711" t="s">
        <v>558</v>
      </c>
      <c r="F711" t="s">
        <v>1049</v>
      </c>
      <c r="G711" t="s">
        <v>309</v>
      </c>
      <c r="H711" t="s">
        <v>1638</v>
      </c>
    </row>
    <row r="712" spans="1:8" ht="15" customHeight="1" x14ac:dyDescent="0.25">
      <c r="A712" t="s">
        <v>44</v>
      </c>
      <c r="B712" t="s">
        <v>123</v>
      </c>
      <c r="C712" s="1">
        <v>46147</v>
      </c>
      <c r="D712" s="5">
        <v>5.52</v>
      </c>
      <c r="E712" t="s">
        <v>558</v>
      </c>
      <c r="F712" t="s">
        <v>1049</v>
      </c>
      <c r="G712" t="s">
        <v>124</v>
      </c>
      <c r="H712" t="s">
        <v>1639</v>
      </c>
    </row>
    <row r="713" spans="1:8" ht="15" customHeight="1" x14ac:dyDescent="0.25">
      <c r="A713" t="s">
        <v>1640</v>
      </c>
      <c r="B713" t="s">
        <v>1641</v>
      </c>
      <c r="C713" s="1">
        <v>46147</v>
      </c>
      <c r="D713" s="5">
        <v>3.68</v>
      </c>
      <c r="E713" t="s">
        <v>558</v>
      </c>
      <c r="F713" t="s">
        <v>1049</v>
      </c>
      <c r="G713" t="s">
        <v>309</v>
      </c>
      <c r="H713" t="s">
        <v>1642</v>
      </c>
    </row>
    <row r="714" spans="1:8" ht="15" customHeight="1" x14ac:dyDescent="0.25">
      <c r="A714" t="s">
        <v>1417</v>
      </c>
      <c r="B714" t="s">
        <v>1243</v>
      </c>
      <c r="C714" s="1">
        <v>46147</v>
      </c>
      <c r="D714" s="5">
        <v>5.52</v>
      </c>
      <c r="E714" t="s">
        <v>558</v>
      </c>
      <c r="F714" t="s">
        <v>1049</v>
      </c>
      <c r="G714" t="s">
        <v>124</v>
      </c>
      <c r="H714" t="s">
        <v>1643</v>
      </c>
    </row>
    <row r="715" spans="1:8" ht="15" customHeight="1" x14ac:dyDescent="0.25">
      <c r="A715" t="s">
        <v>1644</v>
      </c>
      <c r="B715" t="s">
        <v>1645</v>
      </c>
      <c r="C715" s="1">
        <v>46147</v>
      </c>
      <c r="D715" s="5">
        <v>52.2</v>
      </c>
      <c r="E715" t="s">
        <v>558</v>
      </c>
      <c r="F715" t="s">
        <v>1049</v>
      </c>
      <c r="G715" s="3" t="s">
        <v>117</v>
      </c>
      <c r="H715" t="s">
        <v>1646</v>
      </c>
    </row>
    <row r="716" spans="1:8" ht="15" customHeight="1" x14ac:dyDescent="0.25">
      <c r="A716" t="s">
        <v>1647</v>
      </c>
      <c r="B716" t="s">
        <v>1648</v>
      </c>
      <c r="C716" s="1">
        <v>46147</v>
      </c>
      <c r="D716" s="5">
        <v>141.79</v>
      </c>
      <c r="E716" t="s">
        <v>558</v>
      </c>
      <c r="F716" t="s">
        <v>1049</v>
      </c>
      <c r="G716" t="s">
        <v>148</v>
      </c>
      <c r="H716" t="s">
        <v>1649</v>
      </c>
    </row>
    <row r="717" spans="1:8" ht="15" customHeight="1" x14ac:dyDescent="0.25">
      <c r="A717" t="s">
        <v>579</v>
      </c>
      <c r="B717" t="s">
        <v>580</v>
      </c>
      <c r="C717" s="1">
        <v>46147</v>
      </c>
      <c r="D717" s="5">
        <v>26</v>
      </c>
      <c r="E717" t="s">
        <v>558</v>
      </c>
      <c r="F717" t="s">
        <v>1049</v>
      </c>
      <c r="G717" t="s">
        <v>128</v>
      </c>
      <c r="H717" t="s">
        <v>1650</v>
      </c>
    </row>
    <row r="718" spans="1:8" ht="15" customHeight="1" x14ac:dyDescent="0.25">
      <c r="A718" t="s">
        <v>496</v>
      </c>
      <c r="B718" t="s">
        <v>497</v>
      </c>
      <c r="C718" s="1">
        <v>46147</v>
      </c>
      <c r="D718" s="5">
        <v>26</v>
      </c>
      <c r="E718" t="s">
        <v>558</v>
      </c>
      <c r="F718" t="s">
        <v>1049</v>
      </c>
      <c r="G718" t="s">
        <v>128</v>
      </c>
      <c r="H718" t="s">
        <v>1651</v>
      </c>
    </row>
    <row r="719" spans="1:8" ht="15" customHeight="1" x14ac:dyDescent="0.25">
      <c r="A719" t="s">
        <v>1652</v>
      </c>
      <c r="B719" t="s">
        <v>186</v>
      </c>
      <c r="C719" s="1">
        <v>46147</v>
      </c>
      <c r="D719" s="5">
        <v>146.66999999999999</v>
      </c>
      <c r="E719" t="s">
        <v>558</v>
      </c>
      <c r="F719" t="s">
        <v>1049</v>
      </c>
      <c r="G719" t="s">
        <v>128</v>
      </c>
      <c r="H719" t="s">
        <v>1653</v>
      </c>
    </row>
    <row r="720" spans="1:8" ht="15" customHeight="1" x14ac:dyDescent="0.25">
      <c r="A720" t="s">
        <v>277</v>
      </c>
      <c r="B720" t="s">
        <v>278</v>
      </c>
      <c r="C720" s="1">
        <v>46147</v>
      </c>
      <c r="D720" s="5">
        <v>3</v>
      </c>
      <c r="E720" t="s">
        <v>558</v>
      </c>
      <c r="F720" t="s">
        <v>1049</v>
      </c>
      <c r="G720" t="s">
        <v>117</v>
      </c>
      <c r="H720" t="s">
        <v>1654</v>
      </c>
    </row>
    <row r="721" spans="1:8" ht="15" customHeight="1" x14ac:dyDescent="0.25">
      <c r="A721" t="s">
        <v>1162</v>
      </c>
      <c r="B721" t="s">
        <v>1163</v>
      </c>
      <c r="C721" s="1">
        <v>46147</v>
      </c>
      <c r="D721" s="5">
        <v>5.52</v>
      </c>
      <c r="E721" t="s">
        <v>558</v>
      </c>
      <c r="F721" t="s">
        <v>1049</v>
      </c>
      <c r="G721" t="s">
        <v>222</v>
      </c>
      <c r="H721" t="s">
        <v>1655</v>
      </c>
    </row>
    <row r="722" spans="1:8" ht="15" customHeight="1" x14ac:dyDescent="0.25">
      <c r="A722" t="s">
        <v>1113</v>
      </c>
      <c r="B722" t="s">
        <v>1114</v>
      </c>
      <c r="C722" s="1">
        <v>46147</v>
      </c>
      <c r="D722" s="5">
        <v>19.45</v>
      </c>
      <c r="E722" t="s">
        <v>558</v>
      </c>
      <c r="F722" t="s">
        <v>1049</v>
      </c>
      <c r="G722" t="s">
        <v>135</v>
      </c>
      <c r="H722" t="s">
        <v>1656</v>
      </c>
    </row>
    <row r="723" spans="1:8" ht="15" customHeight="1" x14ac:dyDescent="0.25">
      <c r="A723" t="s">
        <v>1657</v>
      </c>
      <c r="B723" t="s">
        <v>1658</v>
      </c>
      <c r="C723" s="1">
        <v>46147</v>
      </c>
      <c r="D723" s="5">
        <v>141.79</v>
      </c>
      <c r="E723" t="s">
        <v>558</v>
      </c>
      <c r="F723" t="s">
        <v>1049</v>
      </c>
      <c r="G723" t="s">
        <v>135</v>
      </c>
      <c r="H723" t="s">
        <v>1659</v>
      </c>
    </row>
    <row r="724" spans="1:8" ht="15" customHeight="1" x14ac:dyDescent="0.25">
      <c r="A724" t="s">
        <v>1660</v>
      </c>
      <c r="B724" t="s">
        <v>1661</v>
      </c>
      <c r="C724" s="1">
        <v>46147</v>
      </c>
      <c r="D724" s="5">
        <v>3.68</v>
      </c>
      <c r="E724" t="s">
        <v>558</v>
      </c>
      <c r="F724" t="s">
        <v>1049</v>
      </c>
      <c r="G724" t="s">
        <v>264</v>
      </c>
      <c r="H724" t="s">
        <v>1662</v>
      </c>
    </row>
    <row r="725" spans="1:8" ht="15" customHeight="1" x14ac:dyDescent="0.25">
      <c r="A725" t="s">
        <v>1663</v>
      </c>
      <c r="B725" t="s">
        <v>1664</v>
      </c>
      <c r="C725" s="1">
        <v>46147</v>
      </c>
      <c r="D725" s="5">
        <v>69.599999999999994</v>
      </c>
      <c r="E725" t="s">
        <v>558</v>
      </c>
      <c r="F725" t="s">
        <v>1049</v>
      </c>
      <c r="G725" t="s">
        <v>117</v>
      </c>
      <c r="H725" t="s">
        <v>1665</v>
      </c>
    </row>
    <row r="726" spans="1:8" ht="15" customHeight="1" x14ac:dyDescent="0.25">
      <c r="A726" t="s">
        <v>281</v>
      </c>
      <c r="B726" t="s">
        <v>282</v>
      </c>
      <c r="C726" s="1">
        <v>46147</v>
      </c>
      <c r="D726" s="5">
        <v>5.52</v>
      </c>
      <c r="E726" t="s">
        <v>558</v>
      </c>
      <c r="F726" t="s">
        <v>1049</v>
      </c>
      <c r="G726" t="s">
        <v>128</v>
      </c>
      <c r="H726" t="s">
        <v>1666</v>
      </c>
    </row>
    <row r="727" spans="1:8" ht="15" customHeight="1" x14ac:dyDescent="0.25">
      <c r="A727" t="s">
        <v>825</v>
      </c>
      <c r="B727" t="s">
        <v>826</v>
      </c>
      <c r="C727" s="1">
        <v>46147</v>
      </c>
      <c r="D727" s="5">
        <v>26</v>
      </c>
      <c r="E727" t="s">
        <v>558</v>
      </c>
      <c r="F727" t="s">
        <v>1049</v>
      </c>
      <c r="G727" t="s">
        <v>128</v>
      </c>
      <c r="H727" t="s">
        <v>1667</v>
      </c>
    </row>
    <row r="728" spans="1:8" ht="15" customHeight="1" x14ac:dyDescent="0.25">
      <c r="A728" t="s">
        <v>1668</v>
      </c>
      <c r="B728" t="s">
        <v>1669</v>
      </c>
      <c r="C728" s="1">
        <v>46147</v>
      </c>
      <c r="D728" s="5">
        <v>26</v>
      </c>
      <c r="E728" t="s">
        <v>558</v>
      </c>
      <c r="F728" t="s">
        <v>1049</v>
      </c>
      <c r="G728" t="s">
        <v>128</v>
      </c>
      <c r="H728" t="s">
        <v>1670</v>
      </c>
    </row>
    <row r="729" spans="1:8" ht="15" customHeight="1" x14ac:dyDescent="0.25">
      <c r="A729" t="s">
        <v>1671</v>
      </c>
      <c r="B729" t="s">
        <v>1672</v>
      </c>
      <c r="C729" s="1">
        <v>46147</v>
      </c>
      <c r="D729" s="5">
        <v>26</v>
      </c>
      <c r="E729" t="s">
        <v>558</v>
      </c>
      <c r="F729" t="s">
        <v>1049</v>
      </c>
      <c r="G729" t="s">
        <v>128</v>
      </c>
      <c r="H729" t="s">
        <v>1673</v>
      </c>
    </row>
    <row r="730" spans="1:8" ht="15" customHeight="1" x14ac:dyDescent="0.25">
      <c r="A730" t="s">
        <v>1674</v>
      </c>
      <c r="B730" t="s">
        <v>1675</v>
      </c>
      <c r="C730" s="1">
        <v>46147</v>
      </c>
      <c r="D730" s="5">
        <v>146.66999999999999</v>
      </c>
      <c r="E730" t="s">
        <v>558</v>
      </c>
      <c r="F730" t="s">
        <v>1049</v>
      </c>
      <c r="G730" t="s">
        <v>128</v>
      </c>
      <c r="H730" t="s">
        <v>1676</v>
      </c>
    </row>
    <row r="731" spans="1:8" ht="15" customHeight="1" x14ac:dyDescent="0.25">
      <c r="A731" t="s">
        <v>1677</v>
      </c>
      <c r="B731" t="s">
        <v>1678</v>
      </c>
      <c r="C731" s="1">
        <v>46147</v>
      </c>
      <c r="D731" s="5">
        <v>131.38999999999999</v>
      </c>
      <c r="E731" t="s">
        <v>558</v>
      </c>
      <c r="F731" t="s">
        <v>1049</v>
      </c>
      <c r="G731" t="s">
        <v>468</v>
      </c>
      <c r="H731" t="s">
        <v>1679</v>
      </c>
    </row>
    <row r="732" spans="1:8" ht="15" customHeight="1" x14ac:dyDescent="0.25">
      <c r="A732" t="s">
        <v>1680</v>
      </c>
      <c r="B732" t="s">
        <v>1681</v>
      </c>
      <c r="C732" s="1">
        <v>46147</v>
      </c>
      <c r="D732" s="5">
        <v>150.6</v>
      </c>
      <c r="E732" t="s">
        <v>558</v>
      </c>
      <c r="F732" t="s">
        <v>1049</v>
      </c>
      <c r="G732" t="s">
        <v>128</v>
      </c>
      <c r="H732" t="s">
        <v>1682</v>
      </c>
    </row>
    <row r="733" spans="1:8" ht="15" customHeight="1" x14ac:dyDescent="0.25">
      <c r="A733" t="s">
        <v>1683</v>
      </c>
      <c r="B733" t="s">
        <v>1684</v>
      </c>
      <c r="C733" s="1">
        <v>46147</v>
      </c>
      <c r="D733" s="5">
        <v>26</v>
      </c>
      <c r="E733" t="s">
        <v>558</v>
      </c>
      <c r="F733" t="s">
        <v>1049</v>
      </c>
      <c r="G733" t="s">
        <v>128</v>
      </c>
      <c r="H733" t="s">
        <v>1685</v>
      </c>
    </row>
    <row r="734" spans="1:8" ht="15" customHeight="1" x14ac:dyDescent="0.25">
      <c r="A734" t="s">
        <v>428</v>
      </c>
      <c r="B734" t="s">
        <v>429</v>
      </c>
      <c r="C734" s="1">
        <v>46147</v>
      </c>
      <c r="D734" s="5">
        <v>3.86</v>
      </c>
      <c r="E734" t="s">
        <v>558</v>
      </c>
      <c r="F734" t="s">
        <v>1049</v>
      </c>
      <c r="G734" t="s">
        <v>1502</v>
      </c>
      <c r="H734" t="s">
        <v>1686</v>
      </c>
    </row>
    <row r="735" spans="1:8" ht="15" customHeight="1" x14ac:dyDescent="0.25">
      <c r="A735" t="s">
        <v>1687</v>
      </c>
      <c r="B735" t="s">
        <v>1688</v>
      </c>
      <c r="C735" s="1">
        <v>46147</v>
      </c>
      <c r="D735" s="5">
        <v>141.79</v>
      </c>
      <c r="E735" t="s">
        <v>558</v>
      </c>
      <c r="F735" t="s">
        <v>1049</v>
      </c>
      <c r="G735" t="s">
        <v>1689</v>
      </c>
      <c r="H735" t="s">
        <v>1690</v>
      </c>
    </row>
    <row r="736" spans="1:8" ht="15" customHeight="1" x14ac:dyDescent="0.25">
      <c r="A736" t="s">
        <v>1691</v>
      </c>
      <c r="B736" t="s">
        <v>1080</v>
      </c>
      <c r="C736" s="1">
        <v>46147</v>
      </c>
      <c r="D736" s="5">
        <v>3</v>
      </c>
      <c r="E736" t="s">
        <v>558</v>
      </c>
      <c r="F736" t="s">
        <v>1049</v>
      </c>
      <c r="G736" t="s">
        <v>124</v>
      </c>
      <c r="H736" t="s">
        <v>1692</v>
      </c>
    </row>
    <row r="737" spans="1:8" ht="15" customHeight="1" x14ac:dyDescent="0.25">
      <c r="A737" t="s">
        <v>1054</v>
      </c>
      <c r="B737" t="s">
        <v>1055</v>
      </c>
      <c r="C737" s="1">
        <v>46147</v>
      </c>
      <c r="D737" s="5">
        <v>3</v>
      </c>
      <c r="E737" t="s">
        <v>558</v>
      </c>
      <c r="F737" t="s">
        <v>1049</v>
      </c>
      <c r="G737" t="s">
        <v>124</v>
      </c>
      <c r="H737" t="s">
        <v>1693</v>
      </c>
    </row>
    <row r="738" spans="1:8" ht="15" customHeight="1" x14ac:dyDescent="0.25">
      <c r="A738" t="s">
        <v>1694</v>
      </c>
      <c r="B738" t="s">
        <v>1695</v>
      </c>
      <c r="C738" s="1">
        <v>46147</v>
      </c>
      <c r="D738" s="5">
        <v>38.520000000000003</v>
      </c>
      <c r="E738" t="s">
        <v>558</v>
      </c>
      <c r="F738" t="s">
        <v>1049</v>
      </c>
      <c r="G738" t="s">
        <v>260</v>
      </c>
      <c r="H738" t="s">
        <v>1696</v>
      </c>
    </row>
    <row r="739" spans="1:8" ht="15" customHeight="1" x14ac:dyDescent="0.25">
      <c r="A739" t="s">
        <v>1697</v>
      </c>
      <c r="B739" t="s">
        <v>1698</v>
      </c>
      <c r="C739" s="1">
        <v>46147</v>
      </c>
      <c r="D739" s="5">
        <v>122.83</v>
      </c>
      <c r="E739" t="s">
        <v>558</v>
      </c>
      <c r="F739" t="s">
        <v>1049</v>
      </c>
      <c r="G739" t="s">
        <v>264</v>
      </c>
      <c r="H739" t="s">
        <v>1699</v>
      </c>
    </row>
    <row r="740" spans="1:8" ht="15" customHeight="1" x14ac:dyDescent="0.25">
      <c r="A740" t="s">
        <v>1700</v>
      </c>
      <c r="B740" t="s">
        <v>1701</v>
      </c>
      <c r="C740" s="1">
        <v>46147</v>
      </c>
      <c r="D740" s="5">
        <v>136.76</v>
      </c>
      <c r="E740" t="s">
        <v>558</v>
      </c>
      <c r="F740" t="s">
        <v>1049</v>
      </c>
      <c r="G740" t="s">
        <v>264</v>
      </c>
      <c r="H740" t="s">
        <v>1702</v>
      </c>
    </row>
    <row r="741" spans="1:8" ht="15" customHeight="1" x14ac:dyDescent="0.25">
      <c r="A741" t="s">
        <v>1703</v>
      </c>
      <c r="B741" t="s">
        <v>1704</v>
      </c>
      <c r="C741" s="1">
        <v>46148</v>
      </c>
      <c r="D741" s="5">
        <v>42.92</v>
      </c>
      <c r="E741" t="s">
        <v>558</v>
      </c>
      <c r="F741" t="s">
        <v>1049</v>
      </c>
      <c r="G741" t="s">
        <v>264</v>
      </c>
      <c r="H741" t="s">
        <v>1705</v>
      </c>
    </row>
    <row r="742" spans="1:8" ht="15" customHeight="1" x14ac:dyDescent="0.25">
      <c r="A742" t="s">
        <v>1706</v>
      </c>
      <c r="B742" t="s">
        <v>1707</v>
      </c>
      <c r="C742" s="1">
        <v>46148</v>
      </c>
      <c r="D742" s="5">
        <v>42.92</v>
      </c>
      <c r="E742" t="s">
        <v>558</v>
      </c>
      <c r="F742" t="s">
        <v>1049</v>
      </c>
      <c r="G742" t="s">
        <v>264</v>
      </c>
      <c r="H742" t="s">
        <v>1708</v>
      </c>
    </row>
    <row r="743" spans="1:8" ht="15" customHeight="1" x14ac:dyDescent="0.25">
      <c r="A743" t="s">
        <v>1709</v>
      </c>
      <c r="B743" t="s">
        <v>1710</v>
      </c>
      <c r="C743" s="1">
        <v>46148</v>
      </c>
      <c r="D743" s="5">
        <v>3</v>
      </c>
      <c r="E743" t="s">
        <v>558</v>
      </c>
      <c r="F743" t="s">
        <v>1049</v>
      </c>
      <c r="G743" t="s">
        <v>124</v>
      </c>
      <c r="H743" t="s">
        <v>1711</v>
      </c>
    </row>
    <row r="744" spans="1:8" ht="15" customHeight="1" x14ac:dyDescent="0.25">
      <c r="A744" t="s">
        <v>1712</v>
      </c>
      <c r="B744" t="s">
        <v>1713</v>
      </c>
      <c r="C744" s="1">
        <v>46148</v>
      </c>
      <c r="D744" s="5">
        <v>38.520000000000003</v>
      </c>
      <c r="E744" t="s">
        <v>558</v>
      </c>
      <c r="F744" t="s">
        <v>1049</v>
      </c>
      <c r="G744" t="s">
        <v>260</v>
      </c>
      <c r="H744" t="s">
        <v>1714</v>
      </c>
    </row>
    <row r="745" spans="1:8" ht="15" customHeight="1" x14ac:dyDescent="0.25">
      <c r="A745" t="s">
        <v>356</v>
      </c>
      <c r="B745" t="s">
        <v>357</v>
      </c>
      <c r="C745" s="1">
        <v>46148</v>
      </c>
      <c r="D745" s="5">
        <v>5.52</v>
      </c>
      <c r="E745" t="s">
        <v>558</v>
      </c>
      <c r="F745" t="s">
        <v>1049</v>
      </c>
      <c r="G745" t="s">
        <v>235</v>
      </c>
      <c r="H745" t="s">
        <v>1715</v>
      </c>
    </row>
    <row r="746" spans="1:8" ht="15" customHeight="1" x14ac:dyDescent="0.25">
      <c r="A746" t="s">
        <v>1716</v>
      </c>
      <c r="B746" t="s">
        <v>1717</v>
      </c>
      <c r="C746" s="1">
        <v>46148</v>
      </c>
      <c r="D746" s="5">
        <v>150.6</v>
      </c>
      <c r="E746" t="s">
        <v>558</v>
      </c>
      <c r="F746" t="s">
        <v>1049</v>
      </c>
      <c r="G746" t="s">
        <v>128</v>
      </c>
      <c r="H746" t="s">
        <v>1718</v>
      </c>
    </row>
    <row r="747" spans="1:8" ht="15" customHeight="1" x14ac:dyDescent="0.25">
      <c r="A747" t="s">
        <v>1719</v>
      </c>
      <c r="B747" t="s">
        <v>1720</v>
      </c>
      <c r="C747" s="1">
        <v>46148</v>
      </c>
      <c r="D747" s="5">
        <v>69.599999999999994</v>
      </c>
      <c r="E747" t="s">
        <v>558</v>
      </c>
      <c r="F747" t="s">
        <v>1049</v>
      </c>
      <c r="G747" t="s">
        <v>117</v>
      </c>
      <c r="H747" t="s">
        <v>1721</v>
      </c>
    </row>
    <row r="748" spans="1:8" ht="15" customHeight="1" x14ac:dyDescent="0.25">
      <c r="A748" t="s">
        <v>1722</v>
      </c>
      <c r="B748" t="s">
        <v>1723</v>
      </c>
      <c r="C748" s="1">
        <v>46148</v>
      </c>
      <c r="D748" s="5">
        <v>141.79</v>
      </c>
      <c r="E748" t="s">
        <v>558</v>
      </c>
      <c r="F748" t="s">
        <v>1049</v>
      </c>
      <c r="G748" t="s">
        <v>135</v>
      </c>
      <c r="H748" t="s">
        <v>1724</v>
      </c>
    </row>
    <row r="749" spans="1:8" ht="15" customHeight="1" x14ac:dyDescent="0.25">
      <c r="A749" t="s">
        <v>562</v>
      </c>
      <c r="B749" t="s">
        <v>563</v>
      </c>
      <c r="C749" s="1">
        <v>46148</v>
      </c>
      <c r="D749" s="5">
        <v>26</v>
      </c>
      <c r="E749" t="s">
        <v>558</v>
      </c>
      <c r="F749" t="s">
        <v>1049</v>
      </c>
      <c r="G749" t="s">
        <v>128</v>
      </c>
      <c r="H749" t="s">
        <v>1725</v>
      </c>
    </row>
    <row r="750" spans="1:8" ht="15" customHeight="1" x14ac:dyDescent="0.25">
      <c r="A750" t="s">
        <v>112</v>
      </c>
      <c r="B750" t="s">
        <v>113</v>
      </c>
      <c r="C750" s="1">
        <v>46148</v>
      </c>
      <c r="D750" s="5">
        <v>5.52</v>
      </c>
      <c r="E750" t="s">
        <v>558</v>
      </c>
      <c r="F750" t="s">
        <v>1049</v>
      </c>
      <c r="G750" t="s">
        <v>128</v>
      </c>
      <c r="H750" t="s">
        <v>1726</v>
      </c>
    </row>
    <row r="751" spans="1:8" ht="15" customHeight="1" x14ac:dyDescent="0.25">
      <c r="A751" t="s">
        <v>188</v>
      </c>
      <c r="B751" t="s">
        <v>189</v>
      </c>
      <c r="C751" s="1">
        <v>46148</v>
      </c>
      <c r="D751" s="5">
        <v>26</v>
      </c>
      <c r="E751" t="s">
        <v>558</v>
      </c>
      <c r="F751" t="s">
        <v>1049</v>
      </c>
      <c r="G751" t="s">
        <v>128</v>
      </c>
      <c r="H751" t="s">
        <v>1727</v>
      </c>
    </row>
    <row r="752" spans="1:8" ht="15" customHeight="1" x14ac:dyDescent="0.25">
      <c r="A752" t="s">
        <v>1728</v>
      </c>
      <c r="B752" t="s">
        <v>742</v>
      </c>
      <c r="C752" s="1">
        <v>46148</v>
      </c>
      <c r="D752" s="5">
        <v>26</v>
      </c>
      <c r="E752" t="s">
        <v>558</v>
      </c>
      <c r="F752" t="s">
        <v>1049</v>
      </c>
      <c r="G752" t="s">
        <v>128</v>
      </c>
      <c r="H752" t="s">
        <v>1729</v>
      </c>
    </row>
    <row r="753" spans="1:8" ht="15" customHeight="1" x14ac:dyDescent="0.25">
      <c r="A753" t="s">
        <v>1730</v>
      </c>
      <c r="B753" t="s">
        <v>1731</v>
      </c>
      <c r="C753" s="1">
        <v>46148</v>
      </c>
      <c r="D753" s="5">
        <v>20.8</v>
      </c>
      <c r="E753" t="s">
        <v>558</v>
      </c>
      <c r="F753" t="s">
        <v>1049</v>
      </c>
      <c r="G753" t="s">
        <v>292</v>
      </c>
      <c r="H753" t="s">
        <v>1732</v>
      </c>
    </row>
    <row r="754" spans="1:8" ht="15" customHeight="1" x14ac:dyDescent="0.25">
      <c r="A754" t="s">
        <v>1733</v>
      </c>
      <c r="B754" t="s">
        <v>1734</v>
      </c>
      <c r="C754" s="1">
        <v>46148</v>
      </c>
      <c r="D754" s="5">
        <v>69.900000000000006</v>
      </c>
      <c r="E754" t="s">
        <v>558</v>
      </c>
      <c r="F754" t="s">
        <v>1049</v>
      </c>
      <c r="G754" t="s">
        <v>314</v>
      </c>
      <c r="H754" t="s">
        <v>1735</v>
      </c>
    </row>
    <row r="755" spans="1:8" ht="15" customHeight="1" x14ac:dyDescent="0.25">
      <c r="A755" t="s">
        <v>1736</v>
      </c>
      <c r="B755" t="s">
        <v>1737</v>
      </c>
      <c r="C755" s="1">
        <v>46148</v>
      </c>
      <c r="D755" s="5">
        <v>146.66999999999999</v>
      </c>
      <c r="E755" t="s">
        <v>558</v>
      </c>
      <c r="F755" t="s">
        <v>1049</v>
      </c>
      <c r="G755" t="s">
        <v>128</v>
      </c>
      <c r="H755" t="s">
        <v>1738</v>
      </c>
    </row>
    <row r="756" spans="1:8" ht="15" customHeight="1" x14ac:dyDescent="0.25">
      <c r="A756" t="s">
        <v>1739</v>
      </c>
      <c r="B756" t="s">
        <v>1740</v>
      </c>
      <c r="C756" s="1">
        <v>46148</v>
      </c>
      <c r="D756" s="5">
        <v>141.79</v>
      </c>
      <c r="E756" t="s">
        <v>558</v>
      </c>
      <c r="F756" t="s">
        <v>1049</v>
      </c>
      <c r="G756" t="s">
        <v>231</v>
      </c>
      <c r="H756" t="s">
        <v>1741</v>
      </c>
    </row>
    <row r="757" spans="1:8" ht="15" customHeight="1" x14ac:dyDescent="0.25">
      <c r="A757" t="s">
        <v>1052</v>
      </c>
      <c r="B757" t="s">
        <v>1742</v>
      </c>
      <c r="C757" s="1">
        <v>46148</v>
      </c>
      <c r="D757" s="5">
        <v>5.52</v>
      </c>
      <c r="E757" t="s">
        <v>558</v>
      </c>
      <c r="F757" t="s">
        <v>1049</v>
      </c>
      <c r="G757" t="s">
        <v>231</v>
      </c>
      <c r="H757" t="s">
        <v>1743</v>
      </c>
    </row>
    <row r="758" spans="1:8" ht="15" customHeight="1" x14ac:dyDescent="0.25">
      <c r="A758" t="s">
        <v>1744</v>
      </c>
      <c r="B758" t="s">
        <v>1745</v>
      </c>
      <c r="C758" s="1">
        <v>46148</v>
      </c>
      <c r="D758" s="5">
        <v>64.38</v>
      </c>
      <c r="E758" t="s">
        <v>558</v>
      </c>
      <c r="F758" t="s">
        <v>1049</v>
      </c>
      <c r="G758" t="s">
        <v>231</v>
      </c>
      <c r="H758" t="s">
        <v>1746</v>
      </c>
    </row>
    <row r="759" spans="1:8" ht="15" customHeight="1" x14ac:dyDescent="0.25">
      <c r="A759" t="s">
        <v>1747</v>
      </c>
      <c r="B759" t="s">
        <v>1748</v>
      </c>
      <c r="C759" s="1">
        <v>46148</v>
      </c>
      <c r="D759" s="5">
        <v>38.520000000000003</v>
      </c>
      <c r="E759" t="s">
        <v>558</v>
      </c>
      <c r="F759" t="s">
        <v>1049</v>
      </c>
      <c r="G759" t="s">
        <v>260</v>
      </c>
      <c r="H759" t="s">
        <v>1749</v>
      </c>
    </row>
    <row r="760" spans="1:8" ht="15" customHeight="1" x14ac:dyDescent="0.25">
      <c r="A760" t="s">
        <v>7</v>
      </c>
      <c r="B760" t="s">
        <v>1750</v>
      </c>
      <c r="C760" s="1">
        <v>46148</v>
      </c>
      <c r="D760" s="5">
        <v>47.31</v>
      </c>
      <c r="E760" t="s">
        <v>558</v>
      </c>
      <c r="F760" t="s">
        <v>1049</v>
      </c>
      <c r="G760" t="s">
        <v>986</v>
      </c>
      <c r="H760" t="s">
        <v>1751</v>
      </c>
    </row>
    <row r="761" spans="1:8" ht="15" customHeight="1" x14ac:dyDescent="0.25">
      <c r="A761" t="s">
        <v>1752</v>
      </c>
      <c r="B761" t="s">
        <v>464</v>
      </c>
      <c r="C761" s="1">
        <v>46148</v>
      </c>
      <c r="D761" s="5">
        <v>3.68</v>
      </c>
      <c r="E761" t="s">
        <v>558</v>
      </c>
      <c r="F761" t="s">
        <v>1049</v>
      </c>
      <c r="G761" t="s">
        <v>264</v>
      </c>
      <c r="H761" t="s">
        <v>1753</v>
      </c>
    </row>
    <row r="762" spans="1:8" ht="15" customHeight="1" x14ac:dyDescent="0.25">
      <c r="A762" t="s">
        <v>67</v>
      </c>
      <c r="B762" t="s">
        <v>68</v>
      </c>
      <c r="C762" s="1">
        <v>46148</v>
      </c>
      <c r="D762" s="5">
        <v>5.52</v>
      </c>
      <c r="E762" t="s">
        <v>558</v>
      </c>
      <c r="F762" t="s">
        <v>1049</v>
      </c>
      <c r="G762" t="s">
        <v>222</v>
      </c>
      <c r="H762" t="s">
        <v>1754</v>
      </c>
    </row>
    <row r="763" spans="1:8" ht="15" customHeight="1" x14ac:dyDescent="0.25">
      <c r="A763" t="s">
        <v>91</v>
      </c>
      <c r="B763" t="s">
        <v>92</v>
      </c>
      <c r="C763" s="1">
        <v>46149</v>
      </c>
      <c r="D763" s="5">
        <v>26</v>
      </c>
      <c r="E763" t="s">
        <v>558</v>
      </c>
      <c r="F763" t="s">
        <v>1049</v>
      </c>
      <c r="G763" t="s">
        <v>222</v>
      </c>
      <c r="H763" t="s">
        <v>1755</v>
      </c>
    </row>
    <row r="764" spans="1:8" ht="15" customHeight="1" x14ac:dyDescent="0.25">
      <c r="A764" t="s">
        <v>412</v>
      </c>
      <c r="B764" t="s">
        <v>413</v>
      </c>
      <c r="C764" s="1">
        <v>46149</v>
      </c>
      <c r="D764" s="5">
        <v>38.520000000000003</v>
      </c>
      <c r="E764" t="s">
        <v>558</v>
      </c>
      <c r="F764" t="s">
        <v>1049</v>
      </c>
      <c r="G764" t="s">
        <v>128</v>
      </c>
      <c r="H764" t="s">
        <v>1756</v>
      </c>
    </row>
    <row r="765" spans="1:8" ht="15" customHeight="1" x14ac:dyDescent="0.25">
      <c r="A765" t="s">
        <v>1757</v>
      </c>
      <c r="B765" t="s">
        <v>1758</v>
      </c>
      <c r="C765" s="1">
        <v>46149</v>
      </c>
      <c r="D765" s="5">
        <v>5.52</v>
      </c>
      <c r="E765" t="s">
        <v>558</v>
      </c>
      <c r="F765" t="s">
        <v>1049</v>
      </c>
      <c r="G765" t="s">
        <v>260</v>
      </c>
      <c r="H765" t="s">
        <v>1759</v>
      </c>
    </row>
    <row r="766" spans="1:8" ht="15" customHeight="1" x14ac:dyDescent="0.25">
      <c r="A766" t="s">
        <v>1760</v>
      </c>
      <c r="B766" t="s">
        <v>1761</v>
      </c>
      <c r="C766" s="1">
        <v>46149</v>
      </c>
      <c r="D766" s="5">
        <v>146.66999999999999</v>
      </c>
      <c r="E766" t="s">
        <v>558</v>
      </c>
      <c r="F766" t="s">
        <v>1049</v>
      </c>
      <c r="G766" t="s">
        <v>128</v>
      </c>
      <c r="H766" t="s">
        <v>1762</v>
      </c>
    </row>
    <row r="767" spans="1:8" ht="15" customHeight="1" x14ac:dyDescent="0.25">
      <c r="A767" t="s">
        <v>1763</v>
      </c>
      <c r="B767" t="s">
        <v>1764</v>
      </c>
      <c r="C767" s="1">
        <v>46149</v>
      </c>
      <c r="D767" s="5">
        <v>26</v>
      </c>
      <c r="E767" t="s">
        <v>558</v>
      </c>
      <c r="F767" t="s">
        <v>1049</v>
      </c>
      <c r="G767" t="s">
        <v>128</v>
      </c>
      <c r="H767" t="s">
        <v>1765</v>
      </c>
    </row>
    <row r="768" spans="1:8" ht="15" customHeight="1" x14ac:dyDescent="0.25">
      <c r="A768" t="s">
        <v>224</v>
      </c>
      <c r="B768" t="s">
        <v>225</v>
      </c>
      <c r="C768" s="1">
        <v>46149</v>
      </c>
      <c r="D768" s="5">
        <v>150.6</v>
      </c>
      <c r="E768" t="s">
        <v>558</v>
      </c>
      <c r="F768" t="s">
        <v>1049</v>
      </c>
      <c r="G768" t="s">
        <v>128</v>
      </c>
      <c r="H768" t="s">
        <v>1766</v>
      </c>
    </row>
    <row r="769" spans="1:8" ht="15" customHeight="1" x14ac:dyDescent="0.25">
      <c r="A769" t="s">
        <v>792</v>
      </c>
      <c r="B769" t="s">
        <v>793</v>
      </c>
      <c r="C769" s="1">
        <v>46149</v>
      </c>
      <c r="D769" s="5">
        <v>3.68</v>
      </c>
      <c r="E769" t="s">
        <v>558</v>
      </c>
      <c r="F769" t="s">
        <v>1049</v>
      </c>
      <c r="G769" t="s">
        <v>1026</v>
      </c>
      <c r="H769" t="s">
        <v>1767</v>
      </c>
    </row>
    <row r="770" spans="1:8" ht="15" customHeight="1" x14ac:dyDescent="0.25">
      <c r="A770" t="s">
        <v>1768</v>
      </c>
      <c r="B770" t="s">
        <v>1769</v>
      </c>
      <c r="C770" s="1">
        <v>46149</v>
      </c>
      <c r="D770" s="5">
        <v>38.520000000000003</v>
      </c>
      <c r="E770" t="s">
        <v>558</v>
      </c>
      <c r="F770" t="s">
        <v>1049</v>
      </c>
      <c r="G770" t="s">
        <v>128</v>
      </c>
      <c r="H770" t="s">
        <v>1770</v>
      </c>
    </row>
    <row r="771" spans="1:8" ht="15" customHeight="1" x14ac:dyDescent="0.25">
      <c r="A771" t="s">
        <v>146</v>
      </c>
      <c r="B771" t="s">
        <v>147</v>
      </c>
      <c r="C771" s="1">
        <v>46149</v>
      </c>
      <c r="D771" s="5">
        <v>3.86</v>
      </c>
      <c r="E771" t="s">
        <v>558</v>
      </c>
      <c r="F771" t="s">
        <v>1049</v>
      </c>
      <c r="G771" t="s">
        <v>148</v>
      </c>
      <c r="H771" t="s">
        <v>1771</v>
      </c>
    </row>
    <row r="772" spans="1:8" ht="15" customHeight="1" x14ac:dyDescent="0.25">
      <c r="A772" t="s">
        <v>1772</v>
      </c>
      <c r="B772" t="s">
        <v>1773</v>
      </c>
      <c r="C772" s="1">
        <v>46149</v>
      </c>
      <c r="D772" s="5">
        <v>31.54</v>
      </c>
      <c r="E772" t="s">
        <v>558</v>
      </c>
      <c r="F772" t="s">
        <v>1049</v>
      </c>
      <c r="G772" t="s">
        <v>264</v>
      </c>
      <c r="H772" t="s">
        <v>1774</v>
      </c>
    </row>
    <row r="773" spans="1:8" ht="15" customHeight="1" x14ac:dyDescent="0.25">
      <c r="A773" t="s">
        <v>1775</v>
      </c>
      <c r="B773" t="s">
        <v>1776</v>
      </c>
      <c r="C773" s="1">
        <v>46149</v>
      </c>
      <c r="D773" s="5">
        <v>150.6</v>
      </c>
      <c r="E773" t="s">
        <v>558</v>
      </c>
      <c r="F773" t="s">
        <v>1049</v>
      </c>
      <c r="G773" t="s">
        <v>128</v>
      </c>
      <c r="H773" t="s">
        <v>1777</v>
      </c>
    </row>
    <row r="774" spans="1:8" ht="15" customHeight="1" x14ac:dyDescent="0.25">
      <c r="A774" t="s">
        <v>1778</v>
      </c>
      <c r="B774" t="s">
        <v>1779</v>
      </c>
      <c r="C774" s="1">
        <v>46149</v>
      </c>
      <c r="D774" s="5">
        <v>146.66999999999999</v>
      </c>
      <c r="E774" t="s">
        <v>558</v>
      </c>
      <c r="F774" t="s">
        <v>1049</v>
      </c>
      <c r="G774" t="s">
        <v>222</v>
      </c>
      <c r="H774" t="s">
        <v>1780</v>
      </c>
    </row>
    <row r="775" spans="1:8" ht="15" customHeight="1" x14ac:dyDescent="0.25">
      <c r="A775" t="s">
        <v>976</v>
      </c>
      <c r="B775" t="s">
        <v>977</v>
      </c>
      <c r="C775" s="1">
        <v>46149</v>
      </c>
      <c r="D775" s="5">
        <v>5.52</v>
      </c>
      <c r="E775" t="s">
        <v>558</v>
      </c>
      <c r="F775" t="s">
        <v>1049</v>
      </c>
      <c r="G775" t="s">
        <v>231</v>
      </c>
      <c r="H775" t="s">
        <v>1781</v>
      </c>
    </row>
    <row r="776" spans="1:8" ht="15" customHeight="1" x14ac:dyDescent="0.25">
      <c r="A776" t="s">
        <v>1782</v>
      </c>
      <c r="B776" t="s">
        <v>1783</v>
      </c>
      <c r="C776" s="1">
        <v>46149</v>
      </c>
      <c r="D776" s="5">
        <v>19.45</v>
      </c>
      <c r="E776" t="s">
        <v>558</v>
      </c>
      <c r="F776" t="s">
        <v>1049</v>
      </c>
      <c r="G776" t="s">
        <v>231</v>
      </c>
      <c r="H776" t="s">
        <v>1784</v>
      </c>
    </row>
    <row r="777" spans="1:8" ht="15" customHeight="1" x14ac:dyDescent="0.25">
      <c r="A777" t="s">
        <v>1683</v>
      </c>
      <c r="B777" t="s">
        <v>1684</v>
      </c>
      <c r="C777" s="1">
        <v>46149</v>
      </c>
      <c r="D777" s="5">
        <v>150.6</v>
      </c>
      <c r="E777" t="s">
        <v>558</v>
      </c>
      <c r="F777" t="s">
        <v>1049</v>
      </c>
      <c r="G777" t="s">
        <v>128</v>
      </c>
      <c r="H777" t="s">
        <v>1785</v>
      </c>
    </row>
    <row r="778" spans="1:8" ht="15" customHeight="1" x14ac:dyDescent="0.25">
      <c r="A778" s="13" t="s">
        <v>171</v>
      </c>
      <c r="B778" t="s">
        <v>172</v>
      </c>
      <c r="C778" s="1">
        <v>46149</v>
      </c>
      <c r="D778" s="5">
        <v>3.86</v>
      </c>
      <c r="E778" t="s">
        <v>558</v>
      </c>
      <c r="F778" t="s">
        <v>1049</v>
      </c>
      <c r="G778" t="s">
        <v>148</v>
      </c>
      <c r="H778" t="s">
        <v>1786</v>
      </c>
    </row>
    <row r="779" spans="1:8" ht="15" customHeight="1" x14ac:dyDescent="0.25">
      <c r="A779" t="s">
        <v>287</v>
      </c>
      <c r="B779" t="s">
        <v>288</v>
      </c>
      <c r="C779" s="1">
        <v>46149</v>
      </c>
      <c r="D779" s="5">
        <v>3</v>
      </c>
      <c r="E779" t="s">
        <v>558</v>
      </c>
      <c r="F779" t="s">
        <v>1049</v>
      </c>
      <c r="G779" t="s">
        <v>117</v>
      </c>
      <c r="H779" t="s">
        <v>1787</v>
      </c>
    </row>
    <row r="780" spans="1:8" ht="15" customHeight="1" x14ac:dyDescent="0.25">
      <c r="A780" t="s">
        <v>1788</v>
      </c>
      <c r="B780" t="s">
        <v>1558</v>
      </c>
      <c r="C780" s="1">
        <v>46149</v>
      </c>
      <c r="D780" s="5">
        <v>122.83</v>
      </c>
      <c r="E780" t="s">
        <v>558</v>
      </c>
      <c r="F780" t="s">
        <v>1049</v>
      </c>
      <c r="G780" t="s">
        <v>264</v>
      </c>
      <c r="H780" t="s">
        <v>1789</v>
      </c>
    </row>
    <row r="781" spans="1:8" ht="15" customHeight="1" x14ac:dyDescent="0.25">
      <c r="A781" t="s">
        <v>1790</v>
      </c>
      <c r="B781" t="s">
        <v>1791</v>
      </c>
      <c r="C781" s="1">
        <v>46149</v>
      </c>
      <c r="D781" s="5">
        <v>3</v>
      </c>
      <c r="E781" t="s">
        <v>558</v>
      </c>
      <c r="F781" t="s">
        <v>1049</v>
      </c>
      <c r="G781" t="s">
        <v>117</v>
      </c>
      <c r="H781" t="s">
        <v>1792</v>
      </c>
    </row>
    <row r="782" spans="1:8" ht="15" customHeight="1" x14ac:dyDescent="0.25">
      <c r="A782" t="s">
        <v>1793</v>
      </c>
      <c r="B782" t="s">
        <v>1128</v>
      </c>
      <c r="C782" s="1">
        <v>46149</v>
      </c>
      <c r="D782" s="5">
        <v>3</v>
      </c>
      <c r="E782" t="s">
        <v>558</v>
      </c>
      <c r="F782" t="s">
        <v>1049</v>
      </c>
      <c r="G782" t="s">
        <v>117</v>
      </c>
      <c r="H782" t="s">
        <v>1794</v>
      </c>
    </row>
    <row r="783" spans="1:8" ht="15" customHeight="1" x14ac:dyDescent="0.25">
      <c r="A783" t="s">
        <v>833</v>
      </c>
      <c r="B783" t="s">
        <v>834</v>
      </c>
      <c r="C783" s="1">
        <v>46149</v>
      </c>
      <c r="D783" s="5">
        <v>5.52</v>
      </c>
      <c r="E783" t="s">
        <v>558</v>
      </c>
      <c r="F783" t="s">
        <v>1049</v>
      </c>
      <c r="G783" t="s">
        <v>260</v>
      </c>
      <c r="H783" t="s">
        <v>1795</v>
      </c>
    </row>
    <row r="784" spans="1:8" ht="15" customHeight="1" x14ac:dyDescent="0.25">
      <c r="A784" t="s">
        <v>1796</v>
      </c>
      <c r="B784" t="s">
        <v>1797</v>
      </c>
      <c r="C784" s="1">
        <v>46150</v>
      </c>
      <c r="D784" s="5">
        <v>141.79</v>
      </c>
      <c r="E784" t="s">
        <v>558</v>
      </c>
      <c r="F784" t="s">
        <v>1049</v>
      </c>
      <c r="G784" t="s">
        <v>1798</v>
      </c>
      <c r="H784" t="s">
        <v>1799</v>
      </c>
    </row>
    <row r="785" spans="1:8" ht="15" customHeight="1" x14ac:dyDescent="0.25">
      <c r="A785" t="s">
        <v>1800</v>
      </c>
      <c r="B785" t="s">
        <v>1801</v>
      </c>
      <c r="C785" s="1">
        <v>46150</v>
      </c>
      <c r="D785" s="5">
        <v>141.79</v>
      </c>
      <c r="E785" t="s">
        <v>558</v>
      </c>
      <c r="F785" t="s">
        <v>1049</v>
      </c>
      <c r="G785" t="s">
        <v>135</v>
      </c>
      <c r="H785" t="s">
        <v>1802</v>
      </c>
    </row>
    <row r="786" spans="1:8" ht="15" customHeight="1" x14ac:dyDescent="0.25">
      <c r="A786" t="s">
        <v>1526</v>
      </c>
      <c r="B786" t="s">
        <v>1527</v>
      </c>
      <c r="C786" s="1">
        <v>46150</v>
      </c>
      <c r="D786" s="5">
        <v>26</v>
      </c>
      <c r="E786" t="s">
        <v>558</v>
      </c>
      <c r="F786" t="s">
        <v>1049</v>
      </c>
      <c r="G786" t="s">
        <v>128</v>
      </c>
      <c r="H786" t="s">
        <v>1803</v>
      </c>
    </row>
    <row r="787" spans="1:8" ht="15" customHeight="1" x14ac:dyDescent="0.25">
      <c r="A787" t="s">
        <v>704</v>
      </c>
      <c r="B787" t="s">
        <v>705</v>
      </c>
      <c r="C787" s="1">
        <v>46150</v>
      </c>
      <c r="D787" s="5">
        <v>26</v>
      </c>
      <c r="E787" t="s">
        <v>558</v>
      </c>
      <c r="F787" t="s">
        <v>1049</v>
      </c>
      <c r="G787" t="s">
        <v>128</v>
      </c>
      <c r="H787" t="s">
        <v>1804</v>
      </c>
    </row>
    <row r="788" spans="1:8" ht="15" customHeight="1" x14ac:dyDescent="0.25">
      <c r="A788" t="s">
        <v>490</v>
      </c>
      <c r="B788" t="s">
        <v>491</v>
      </c>
      <c r="C788" s="1">
        <v>46150</v>
      </c>
      <c r="D788" s="5">
        <v>26</v>
      </c>
      <c r="E788" t="s">
        <v>558</v>
      </c>
      <c r="F788" t="s">
        <v>1049</v>
      </c>
      <c r="G788" t="s">
        <v>128</v>
      </c>
      <c r="H788" t="s">
        <v>1805</v>
      </c>
    </row>
    <row r="789" spans="1:8" ht="15" customHeight="1" x14ac:dyDescent="0.25">
      <c r="A789" t="s">
        <v>1239</v>
      </c>
      <c r="B789" t="s">
        <v>1240</v>
      </c>
      <c r="C789" s="1">
        <v>46150</v>
      </c>
      <c r="D789" s="5">
        <v>146.66999999999999</v>
      </c>
      <c r="E789" t="s">
        <v>558</v>
      </c>
      <c r="F789" t="s">
        <v>1049</v>
      </c>
      <c r="G789" t="s">
        <v>128</v>
      </c>
      <c r="H789" t="s">
        <v>1806</v>
      </c>
    </row>
    <row r="790" spans="1:8" ht="15" customHeight="1" x14ac:dyDescent="0.25">
      <c r="A790" t="s">
        <v>1807</v>
      </c>
      <c r="B790" t="s">
        <v>1808</v>
      </c>
      <c r="C790" s="1">
        <v>46150</v>
      </c>
      <c r="D790" s="5">
        <v>146.66999999999999</v>
      </c>
      <c r="E790" t="s">
        <v>558</v>
      </c>
      <c r="F790" t="s">
        <v>1049</v>
      </c>
      <c r="G790" t="s">
        <v>128</v>
      </c>
      <c r="H790" t="s">
        <v>1809</v>
      </c>
    </row>
    <row r="791" spans="1:8" ht="15" customHeight="1" x14ac:dyDescent="0.25">
      <c r="A791" t="s">
        <v>237</v>
      </c>
      <c r="B791" t="s">
        <v>238</v>
      </c>
      <c r="C791" s="1">
        <v>46150</v>
      </c>
      <c r="D791" s="5">
        <f>1.84*2</f>
        <v>3.68</v>
      </c>
      <c r="E791" t="s">
        <v>558</v>
      </c>
      <c r="F791" t="s">
        <v>1049</v>
      </c>
      <c r="G791" t="s">
        <v>369</v>
      </c>
      <c r="H791" t="s">
        <v>1810</v>
      </c>
    </row>
    <row r="792" spans="1:8" ht="15" customHeight="1" x14ac:dyDescent="0.25">
      <c r="A792" t="s">
        <v>1052</v>
      </c>
      <c r="B792" t="s">
        <v>989</v>
      </c>
      <c r="C792" s="1">
        <v>46150</v>
      </c>
      <c r="D792" s="5">
        <v>5.52</v>
      </c>
      <c r="E792" t="s">
        <v>558</v>
      </c>
      <c r="F792" t="s">
        <v>1049</v>
      </c>
      <c r="G792" t="s">
        <v>231</v>
      </c>
      <c r="H792" t="s">
        <v>1811</v>
      </c>
    </row>
    <row r="793" spans="1:8" ht="15" customHeight="1" x14ac:dyDescent="0.25">
      <c r="A793" t="s">
        <v>1812</v>
      </c>
      <c r="B793" t="s">
        <v>1813</v>
      </c>
      <c r="C793" s="1">
        <v>46150</v>
      </c>
      <c r="D793" s="5">
        <v>87</v>
      </c>
      <c r="E793" t="s">
        <v>558</v>
      </c>
      <c r="F793" t="s">
        <v>1049</v>
      </c>
      <c r="G793" t="s">
        <v>124</v>
      </c>
      <c r="H793" t="s">
        <v>1814</v>
      </c>
    </row>
    <row r="794" spans="1:8" ht="15" customHeight="1" x14ac:dyDescent="0.25">
      <c r="A794" t="s">
        <v>1815</v>
      </c>
      <c r="B794" t="s">
        <v>1816</v>
      </c>
      <c r="C794" s="1">
        <v>46150</v>
      </c>
      <c r="D794" s="5">
        <v>69.599999999999994</v>
      </c>
      <c r="E794" t="s">
        <v>558</v>
      </c>
      <c r="F794" t="s">
        <v>1049</v>
      </c>
      <c r="G794" t="s">
        <v>117</v>
      </c>
      <c r="H794" t="s">
        <v>1817</v>
      </c>
    </row>
    <row r="795" spans="1:8" ht="15" customHeight="1" x14ac:dyDescent="0.25">
      <c r="A795" t="s">
        <v>1818</v>
      </c>
      <c r="B795" t="s">
        <v>1819</v>
      </c>
      <c r="C795" s="1">
        <v>46150</v>
      </c>
      <c r="D795" s="5">
        <v>34.799999999999997</v>
      </c>
      <c r="E795" t="s">
        <v>558</v>
      </c>
      <c r="F795" t="s">
        <v>1049</v>
      </c>
      <c r="G795" t="s">
        <v>124</v>
      </c>
      <c r="H795" t="s">
        <v>1820</v>
      </c>
    </row>
    <row r="796" spans="1:8" ht="15" customHeight="1" x14ac:dyDescent="0.25">
      <c r="A796" t="s">
        <v>104</v>
      </c>
      <c r="B796" t="s">
        <v>105</v>
      </c>
      <c r="C796" s="1">
        <v>46150</v>
      </c>
      <c r="D796" s="5">
        <v>112.05</v>
      </c>
      <c r="E796" t="s">
        <v>558</v>
      </c>
      <c r="F796" t="s">
        <v>1049</v>
      </c>
      <c r="G796" t="s">
        <v>183</v>
      </c>
      <c r="H796" t="s">
        <v>1821</v>
      </c>
    </row>
    <row r="797" spans="1:8" ht="15" customHeight="1" x14ac:dyDescent="0.25">
      <c r="A797" t="s">
        <v>284</v>
      </c>
      <c r="B797" t="s">
        <v>285</v>
      </c>
      <c r="C797" s="1">
        <v>46150</v>
      </c>
      <c r="D797" s="5">
        <v>3</v>
      </c>
      <c r="E797" t="s">
        <v>558</v>
      </c>
      <c r="F797" t="s">
        <v>1049</v>
      </c>
      <c r="G797" t="s">
        <v>117</v>
      </c>
      <c r="H797" t="s">
        <v>1822</v>
      </c>
    </row>
    <row r="798" spans="1:8" ht="15" customHeight="1" x14ac:dyDescent="0.25">
      <c r="A798" t="s">
        <v>415</v>
      </c>
      <c r="B798" t="s">
        <v>416</v>
      </c>
      <c r="C798" s="1">
        <v>46150</v>
      </c>
      <c r="D798" s="5">
        <v>3.68</v>
      </c>
      <c r="E798" t="s">
        <v>558</v>
      </c>
      <c r="F798" t="s">
        <v>1049</v>
      </c>
      <c r="G798" t="s">
        <v>1026</v>
      </c>
      <c r="H798" t="s">
        <v>1823</v>
      </c>
    </row>
    <row r="799" spans="1:8" ht="15" customHeight="1" x14ac:dyDescent="0.25">
      <c r="A799" t="s">
        <v>1824</v>
      </c>
      <c r="B799" t="s">
        <v>1825</v>
      </c>
      <c r="C799" s="1">
        <v>46150</v>
      </c>
      <c r="D799" s="5">
        <v>141.79</v>
      </c>
      <c r="E799" t="s">
        <v>558</v>
      </c>
      <c r="F799" t="s">
        <v>1049</v>
      </c>
      <c r="G799" t="s">
        <v>135</v>
      </c>
      <c r="H799" t="s">
        <v>1826</v>
      </c>
    </row>
    <row r="800" spans="1:8" ht="15" customHeight="1" x14ac:dyDescent="0.25">
      <c r="A800" t="s">
        <v>1179</v>
      </c>
      <c r="B800" t="s">
        <v>1180</v>
      </c>
      <c r="C800" s="1">
        <v>46150</v>
      </c>
      <c r="D800" s="5">
        <v>3.86</v>
      </c>
      <c r="E800" t="s">
        <v>558</v>
      </c>
      <c r="F800" t="s">
        <v>1049</v>
      </c>
      <c r="G800" t="s">
        <v>183</v>
      </c>
      <c r="H800" t="s">
        <v>1827</v>
      </c>
    </row>
    <row r="801" spans="1:8" ht="15" customHeight="1" x14ac:dyDescent="0.25">
      <c r="A801" t="s">
        <v>1828</v>
      </c>
      <c r="B801" t="s">
        <v>1829</v>
      </c>
      <c r="C801" s="1">
        <v>46150</v>
      </c>
      <c r="D801" s="5">
        <f>17.4*3</f>
        <v>52.199999999999996</v>
      </c>
      <c r="E801" t="s">
        <v>558</v>
      </c>
      <c r="F801" t="s">
        <v>1049</v>
      </c>
      <c r="G801" t="s">
        <v>117</v>
      </c>
      <c r="H801" t="s">
        <v>1830</v>
      </c>
    </row>
    <row r="802" spans="1:8" ht="15" customHeight="1" x14ac:dyDescent="0.25">
      <c r="A802" t="s">
        <v>1831</v>
      </c>
      <c r="B802" t="s">
        <v>614</v>
      </c>
      <c r="C802" s="1">
        <v>46150</v>
      </c>
      <c r="D802" s="5">
        <v>3</v>
      </c>
      <c r="E802" t="s">
        <v>558</v>
      </c>
      <c r="F802" t="s">
        <v>1049</v>
      </c>
      <c r="G802" t="s">
        <v>117</v>
      </c>
      <c r="H802" t="s">
        <v>1832</v>
      </c>
    </row>
    <row r="803" spans="1:8" ht="15" customHeight="1" x14ac:dyDescent="0.25">
      <c r="A803" t="s">
        <v>1833</v>
      </c>
      <c r="B803" t="s">
        <v>1834</v>
      </c>
      <c r="C803" s="1">
        <v>46150</v>
      </c>
      <c r="D803" s="5">
        <v>150.6</v>
      </c>
      <c r="E803" t="s">
        <v>558</v>
      </c>
      <c r="F803" t="s">
        <v>1049</v>
      </c>
      <c r="G803" t="s">
        <v>222</v>
      </c>
      <c r="H803" t="s">
        <v>1835</v>
      </c>
    </row>
    <row r="804" spans="1:8" ht="15" customHeight="1" x14ac:dyDescent="0.25">
      <c r="A804" t="s">
        <v>1836</v>
      </c>
      <c r="B804" t="s">
        <v>1837</v>
      </c>
      <c r="C804" s="1">
        <v>46150</v>
      </c>
      <c r="D804" s="5">
        <f>10.4*2+120.99</f>
        <v>141.79</v>
      </c>
      <c r="E804" t="s">
        <v>558</v>
      </c>
      <c r="F804" t="s">
        <v>1049</v>
      </c>
      <c r="G804" t="s">
        <v>235</v>
      </c>
      <c r="H804" t="s">
        <v>1838</v>
      </c>
    </row>
    <row r="805" spans="1:8" ht="15" customHeight="1" x14ac:dyDescent="0.25">
      <c r="A805" t="s">
        <v>1072</v>
      </c>
      <c r="B805" t="s">
        <v>157</v>
      </c>
      <c r="C805" s="1">
        <v>46150</v>
      </c>
      <c r="D805" s="5">
        <v>3.86</v>
      </c>
      <c r="E805" t="s">
        <v>558</v>
      </c>
      <c r="F805" t="s">
        <v>1049</v>
      </c>
      <c r="G805" t="s">
        <v>183</v>
      </c>
      <c r="H805" t="s">
        <v>1839</v>
      </c>
    </row>
    <row r="806" spans="1:8" ht="15" customHeight="1" x14ac:dyDescent="0.25">
      <c r="A806" t="s">
        <v>1529</v>
      </c>
      <c r="B806" t="s">
        <v>1530</v>
      </c>
      <c r="C806" s="1">
        <v>46150</v>
      </c>
      <c r="D806" s="5">
        <f>1.84*2</f>
        <v>3.68</v>
      </c>
      <c r="E806" t="s">
        <v>558</v>
      </c>
      <c r="F806" t="s">
        <v>1049</v>
      </c>
      <c r="G806" t="s">
        <v>264</v>
      </c>
      <c r="H806" t="s">
        <v>1840</v>
      </c>
    </row>
    <row r="807" spans="1:8" ht="15" customHeight="1" x14ac:dyDescent="0.25">
      <c r="A807" t="s">
        <v>1841</v>
      </c>
      <c r="B807" t="s">
        <v>1842</v>
      </c>
      <c r="C807" s="1">
        <v>46150</v>
      </c>
      <c r="D807" s="5">
        <f>10.4*2+120.99</f>
        <v>141.79</v>
      </c>
      <c r="E807" t="s">
        <v>558</v>
      </c>
      <c r="F807" t="s">
        <v>1049</v>
      </c>
      <c r="G807" t="s">
        <v>318</v>
      </c>
      <c r="H807" t="s">
        <v>1843</v>
      </c>
    </row>
    <row r="808" spans="1:8" ht="15" customHeight="1" x14ac:dyDescent="0.25">
      <c r="A808" t="s">
        <v>1788</v>
      </c>
      <c r="B808" t="s">
        <v>1558</v>
      </c>
      <c r="C808" s="1">
        <v>46150</v>
      </c>
      <c r="D808" s="5">
        <f>1.84*2</f>
        <v>3.68</v>
      </c>
      <c r="E808" t="s">
        <v>558</v>
      </c>
      <c r="F808" t="s">
        <v>1049</v>
      </c>
      <c r="G808" t="s">
        <v>264</v>
      </c>
      <c r="H808" t="s">
        <v>1844</v>
      </c>
    </row>
    <row r="809" spans="1:8" ht="15" customHeight="1" x14ac:dyDescent="0.25">
      <c r="A809" t="s">
        <v>1845</v>
      </c>
      <c r="B809" t="s">
        <v>1846</v>
      </c>
      <c r="C809" s="1">
        <v>46150</v>
      </c>
      <c r="D809" s="5">
        <f>10.4*2+120.99</f>
        <v>141.79</v>
      </c>
      <c r="E809" t="s">
        <v>558</v>
      </c>
      <c r="F809" t="s">
        <v>1049</v>
      </c>
      <c r="G809" t="s">
        <v>1798</v>
      </c>
      <c r="H809" t="s">
        <v>1847</v>
      </c>
    </row>
    <row r="810" spans="1:8" ht="15" customHeight="1" x14ac:dyDescent="0.25">
      <c r="A810" t="s">
        <v>146</v>
      </c>
      <c r="B810" t="s">
        <v>147</v>
      </c>
      <c r="C810" s="1">
        <v>46153</v>
      </c>
      <c r="D810" s="5">
        <v>3.86</v>
      </c>
      <c r="E810" t="s">
        <v>558</v>
      </c>
      <c r="F810" t="s">
        <v>1049</v>
      </c>
      <c r="G810" t="s">
        <v>148</v>
      </c>
      <c r="H810" t="s">
        <v>1848</v>
      </c>
    </row>
    <row r="811" spans="1:8" ht="15" customHeight="1" x14ac:dyDescent="0.25">
      <c r="A811" t="s">
        <v>364</v>
      </c>
      <c r="B811" t="s">
        <v>365</v>
      </c>
      <c r="C811" s="1">
        <v>46153</v>
      </c>
      <c r="D811" s="5">
        <v>26</v>
      </c>
      <c r="E811" t="s">
        <v>558</v>
      </c>
      <c r="F811" t="s">
        <v>1049</v>
      </c>
      <c r="G811" t="s">
        <v>128</v>
      </c>
      <c r="H811" t="s">
        <v>1849</v>
      </c>
    </row>
    <row r="812" spans="1:8" ht="15" customHeight="1" x14ac:dyDescent="0.25">
      <c r="A812" t="s">
        <v>1733</v>
      </c>
      <c r="B812" t="s">
        <v>1734</v>
      </c>
      <c r="C812" s="1">
        <v>46153</v>
      </c>
      <c r="D812" s="5">
        <v>3</v>
      </c>
      <c r="E812" t="s">
        <v>558</v>
      </c>
      <c r="F812" t="s">
        <v>1049</v>
      </c>
      <c r="G812" t="s">
        <v>124</v>
      </c>
      <c r="H812" t="s">
        <v>1850</v>
      </c>
    </row>
    <row r="813" spans="1:8" ht="15" customHeight="1" x14ac:dyDescent="0.25">
      <c r="A813" t="s">
        <v>700</v>
      </c>
      <c r="B813" t="s">
        <v>701</v>
      </c>
      <c r="C813" s="1">
        <v>46153</v>
      </c>
      <c r="D813" s="5">
        <v>26</v>
      </c>
      <c r="E813" t="s">
        <v>558</v>
      </c>
      <c r="F813" t="s">
        <v>1049</v>
      </c>
      <c r="G813" t="s">
        <v>128</v>
      </c>
      <c r="H813" t="s">
        <v>1851</v>
      </c>
    </row>
    <row r="814" spans="1:8" ht="15" customHeight="1" x14ac:dyDescent="0.25">
      <c r="A814" t="s">
        <v>863</v>
      </c>
      <c r="B814" t="s">
        <v>864</v>
      </c>
      <c r="C814" s="1">
        <v>46153</v>
      </c>
      <c r="D814" s="5">
        <v>5.52</v>
      </c>
      <c r="E814" t="s">
        <v>558</v>
      </c>
      <c r="F814" t="s">
        <v>1049</v>
      </c>
      <c r="G814" t="s">
        <v>128</v>
      </c>
      <c r="H814" t="s">
        <v>1852</v>
      </c>
    </row>
    <row r="815" spans="1:8" ht="15" customHeight="1" x14ac:dyDescent="0.25">
      <c r="A815" t="s">
        <v>1853</v>
      </c>
      <c r="B815" t="s">
        <v>1854</v>
      </c>
      <c r="C815" s="1">
        <v>46153</v>
      </c>
      <c r="D815" s="5">
        <v>5.52</v>
      </c>
      <c r="E815" t="s">
        <v>558</v>
      </c>
      <c r="F815" t="s">
        <v>1049</v>
      </c>
      <c r="G815" t="s">
        <v>128</v>
      </c>
      <c r="H815" t="s">
        <v>1855</v>
      </c>
    </row>
    <row r="816" spans="1:8" ht="15" customHeight="1" x14ac:dyDescent="0.25">
      <c r="A816" t="s">
        <v>1856</v>
      </c>
      <c r="B816" t="s">
        <v>1857</v>
      </c>
      <c r="C816" s="1">
        <v>46153</v>
      </c>
      <c r="D816" s="5">
        <v>38.520000000000003</v>
      </c>
      <c r="E816" t="s">
        <v>558</v>
      </c>
      <c r="F816" t="s">
        <v>1049</v>
      </c>
      <c r="G816" t="s">
        <v>128</v>
      </c>
      <c r="H816" t="s">
        <v>1858</v>
      </c>
    </row>
    <row r="817" spans="1:8" ht="15" customHeight="1" x14ac:dyDescent="0.25">
      <c r="A817" t="s">
        <v>562</v>
      </c>
      <c r="B817" t="s">
        <v>563</v>
      </c>
      <c r="C817" s="1">
        <v>46153</v>
      </c>
      <c r="D817" s="5">
        <v>26</v>
      </c>
      <c r="E817" t="s">
        <v>558</v>
      </c>
      <c r="F817" t="s">
        <v>1049</v>
      </c>
      <c r="G817" t="s">
        <v>128</v>
      </c>
      <c r="H817" t="s">
        <v>1859</v>
      </c>
    </row>
    <row r="818" spans="1:8" ht="15" customHeight="1" x14ac:dyDescent="0.25">
      <c r="A818" t="s">
        <v>1788</v>
      </c>
      <c r="B818" t="s">
        <v>1558</v>
      </c>
      <c r="C818" s="1">
        <v>46153</v>
      </c>
      <c r="D818" s="5">
        <v>3.68</v>
      </c>
      <c r="E818" t="s">
        <v>558</v>
      </c>
      <c r="F818" t="s">
        <v>1049</v>
      </c>
      <c r="G818" t="s">
        <v>1860</v>
      </c>
      <c r="H818" t="s">
        <v>1861</v>
      </c>
    </row>
    <row r="819" spans="1:8" ht="15" customHeight="1" x14ac:dyDescent="0.25">
      <c r="A819" t="s">
        <v>1652</v>
      </c>
      <c r="B819" t="s">
        <v>186</v>
      </c>
      <c r="C819" s="1">
        <v>46153</v>
      </c>
      <c r="D819" s="5">
        <v>26</v>
      </c>
      <c r="E819" t="s">
        <v>558</v>
      </c>
      <c r="F819" t="s">
        <v>1049</v>
      </c>
      <c r="G819" t="s">
        <v>128</v>
      </c>
      <c r="H819" t="s">
        <v>1862</v>
      </c>
    </row>
    <row r="820" spans="1:8" ht="15" customHeight="1" x14ac:dyDescent="0.25">
      <c r="A820" t="s">
        <v>1709</v>
      </c>
      <c r="B820" t="s">
        <v>1710</v>
      </c>
      <c r="C820" s="1">
        <v>46153</v>
      </c>
      <c r="D820" s="5">
        <v>3</v>
      </c>
      <c r="E820" t="s">
        <v>558</v>
      </c>
      <c r="F820" t="s">
        <v>1049</v>
      </c>
      <c r="G820" t="s">
        <v>124</v>
      </c>
      <c r="H820" t="s">
        <v>1863</v>
      </c>
    </row>
    <row r="821" spans="1:8" ht="15" customHeight="1" x14ac:dyDescent="0.25">
      <c r="A821" t="s">
        <v>1864</v>
      </c>
      <c r="B821" t="s">
        <v>1865</v>
      </c>
      <c r="C821" s="1">
        <v>46153</v>
      </c>
      <c r="D821" s="5">
        <v>5.52</v>
      </c>
      <c r="E821" t="s">
        <v>558</v>
      </c>
      <c r="F821" t="s">
        <v>1049</v>
      </c>
      <c r="G821" t="s">
        <v>135</v>
      </c>
      <c r="H821" t="s">
        <v>1866</v>
      </c>
    </row>
    <row r="822" spans="1:8" ht="15" customHeight="1" x14ac:dyDescent="0.25">
      <c r="A822" t="s">
        <v>1867</v>
      </c>
      <c r="B822" t="s">
        <v>1868</v>
      </c>
      <c r="C822" s="1">
        <v>46153</v>
      </c>
      <c r="D822" s="5">
        <v>38.520000000000003</v>
      </c>
      <c r="E822" t="s">
        <v>558</v>
      </c>
      <c r="F822" t="s">
        <v>1049</v>
      </c>
      <c r="G822" t="s">
        <v>128</v>
      </c>
      <c r="H822" t="s">
        <v>1869</v>
      </c>
    </row>
    <row r="823" spans="1:8" ht="15" customHeight="1" x14ac:dyDescent="0.25">
      <c r="A823" t="s">
        <v>1778</v>
      </c>
      <c r="B823" t="s">
        <v>1779</v>
      </c>
      <c r="C823" s="1">
        <v>46153</v>
      </c>
      <c r="D823" s="5">
        <v>5.52</v>
      </c>
      <c r="E823" t="s">
        <v>558</v>
      </c>
      <c r="F823" t="s">
        <v>1049</v>
      </c>
      <c r="G823" t="s">
        <v>128</v>
      </c>
      <c r="H823" t="s">
        <v>1870</v>
      </c>
    </row>
    <row r="824" spans="1:8" ht="15" customHeight="1" x14ac:dyDescent="0.25">
      <c r="A824" t="s">
        <v>1871</v>
      </c>
      <c r="B824" t="s">
        <v>1872</v>
      </c>
      <c r="C824" s="1">
        <v>46153</v>
      </c>
      <c r="D824" s="5">
        <v>146.66999999999999</v>
      </c>
      <c r="E824" t="s">
        <v>558</v>
      </c>
      <c r="F824" t="s">
        <v>1049</v>
      </c>
      <c r="G824" t="s">
        <v>222</v>
      </c>
      <c r="H824" t="s">
        <v>1873</v>
      </c>
    </row>
    <row r="825" spans="1:8" ht="15" customHeight="1" x14ac:dyDescent="0.25">
      <c r="A825" t="s">
        <v>1700</v>
      </c>
      <c r="B825" t="s">
        <v>1701</v>
      </c>
      <c r="C825" s="1">
        <v>46153</v>
      </c>
      <c r="D825" s="5">
        <v>3.68</v>
      </c>
      <c r="E825" t="s">
        <v>558</v>
      </c>
      <c r="F825" t="s">
        <v>1049</v>
      </c>
      <c r="G825" t="s">
        <v>264</v>
      </c>
      <c r="H825" t="s">
        <v>1874</v>
      </c>
    </row>
    <row r="826" spans="1:8" ht="15" customHeight="1" x14ac:dyDescent="0.25">
      <c r="A826" t="s">
        <v>1137</v>
      </c>
      <c r="B826" t="s">
        <v>1138</v>
      </c>
      <c r="C826" s="1">
        <v>46153</v>
      </c>
      <c r="D826" s="5">
        <v>7.3630000000000004</v>
      </c>
      <c r="E826" t="s">
        <v>558</v>
      </c>
      <c r="F826" t="s">
        <v>1049</v>
      </c>
      <c r="G826" t="s">
        <v>292</v>
      </c>
      <c r="H826" t="s">
        <v>1875</v>
      </c>
    </row>
    <row r="827" spans="1:8" ht="15" customHeight="1" x14ac:dyDescent="0.25">
      <c r="A827" t="s">
        <v>361</v>
      </c>
      <c r="B827" t="s">
        <v>1876</v>
      </c>
      <c r="C827" s="1">
        <v>46153</v>
      </c>
      <c r="D827" s="5">
        <v>42.92</v>
      </c>
      <c r="E827" t="s">
        <v>558</v>
      </c>
      <c r="F827" t="s">
        <v>1049</v>
      </c>
      <c r="G827" t="s">
        <v>264</v>
      </c>
      <c r="H827" t="s">
        <v>1877</v>
      </c>
    </row>
    <row r="828" spans="1:8" ht="15" customHeight="1" x14ac:dyDescent="0.25">
      <c r="A828" t="s">
        <v>1878</v>
      </c>
      <c r="B828" t="s">
        <v>1879</v>
      </c>
      <c r="C828" s="1">
        <v>46153</v>
      </c>
      <c r="D828" s="5">
        <v>146.62</v>
      </c>
      <c r="E828" t="s">
        <v>558</v>
      </c>
      <c r="F828" t="s">
        <v>1049</v>
      </c>
      <c r="G828" t="s">
        <v>222</v>
      </c>
      <c r="H828" t="s">
        <v>1880</v>
      </c>
    </row>
    <row r="829" spans="1:8" ht="15" customHeight="1" x14ac:dyDescent="0.25">
      <c r="A829" t="s">
        <v>1881</v>
      </c>
      <c r="B829" t="s">
        <v>1882</v>
      </c>
      <c r="C829" s="1">
        <v>46153</v>
      </c>
      <c r="D829" s="5">
        <v>52.2</v>
      </c>
      <c r="E829" t="s">
        <v>558</v>
      </c>
      <c r="F829" t="s">
        <v>1049</v>
      </c>
      <c r="G829" t="s">
        <v>117</v>
      </c>
      <c r="H829" t="s">
        <v>1883</v>
      </c>
    </row>
    <row r="830" spans="1:8" ht="15" customHeight="1" x14ac:dyDescent="0.25">
      <c r="A830" t="s">
        <v>487</v>
      </c>
      <c r="B830" t="s">
        <v>1884</v>
      </c>
      <c r="C830" s="1">
        <v>46153</v>
      </c>
      <c r="D830" s="5">
        <v>38.520000000000003</v>
      </c>
      <c r="E830" t="s">
        <v>558</v>
      </c>
      <c r="F830" t="s">
        <v>1049</v>
      </c>
      <c r="G830" t="s">
        <v>128</v>
      </c>
      <c r="H830" t="s">
        <v>1885</v>
      </c>
    </row>
    <row r="831" spans="1:8" ht="15" customHeight="1" x14ac:dyDescent="0.25">
      <c r="A831" t="s">
        <v>961</v>
      </c>
      <c r="B831" t="s">
        <v>962</v>
      </c>
      <c r="C831" s="1">
        <v>46153</v>
      </c>
      <c r="D831" s="5">
        <v>5.52</v>
      </c>
      <c r="E831" t="s">
        <v>558</v>
      </c>
      <c r="F831" t="s">
        <v>1049</v>
      </c>
      <c r="G831" t="s">
        <v>222</v>
      </c>
      <c r="H831" t="s">
        <v>1886</v>
      </c>
    </row>
    <row r="832" spans="1:8" ht="15" customHeight="1" x14ac:dyDescent="0.25">
      <c r="A832" t="s">
        <v>1887</v>
      </c>
      <c r="B832" t="s">
        <v>1888</v>
      </c>
      <c r="C832" s="1">
        <v>46153</v>
      </c>
      <c r="D832" s="5">
        <v>122.83</v>
      </c>
      <c r="E832" t="s">
        <v>558</v>
      </c>
      <c r="F832" t="s">
        <v>1049</v>
      </c>
      <c r="G832" t="s">
        <v>264</v>
      </c>
      <c r="H832" t="s">
        <v>1889</v>
      </c>
    </row>
    <row r="833" spans="1:8" ht="15" customHeight="1" x14ac:dyDescent="0.25">
      <c r="A833" t="s">
        <v>335</v>
      </c>
      <c r="B833" t="s">
        <v>1890</v>
      </c>
      <c r="C833" s="1">
        <v>46153</v>
      </c>
      <c r="D833" s="5">
        <v>3.68</v>
      </c>
      <c r="E833" t="s">
        <v>558</v>
      </c>
      <c r="F833" t="s">
        <v>1049</v>
      </c>
      <c r="G833" t="s">
        <v>264</v>
      </c>
      <c r="H833" t="s">
        <v>1891</v>
      </c>
    </row>
    <row r="834" spans="1:8" ht="15" customHeight="1" x14ac:dyDescent="0.25">
      <c r="A834" t="s">
        <v>1892</v>
      </c>
      <c r="B834" t="s">
        <v>1893</v>
      </c>
      <c r="C834" s="1">
        <v>46153</v>
      </c>
      <c r="D834" s="5">
        <v>112.05</v>
      </c>
      <c r="E834" t="s">
        <v>558</v>
      </c>
      <c r="F834" t="s">
        <v>1049</v>
      </c>
      <c r="G834" t="s">
        <v>183</v>
      </c>
      <c r="H834" t="s">
        <v>1894</v>
      </c>
    </row>
    <row r="835" spans="1:8" ht="15" customHeight="1" x14ac:dyDescent="0.25">
      <c r="A835" t="s">
        <v>171</v>
      </c>
      <c r="B835" t="s">
        <v>172</v>
      </c>
      <c r="C835" s="1">
        <v>46153</v>
      </c>
      <c r="D835" s="5">
        <v>3.86</v>
      </c>
      <c r="E835" t="s">
        <v>558</v>
      </c>
      <c r="F835" t="s">
        <v>1049</v>
      </c>
      <c r="G835" t="s">
        <v>148</v>
      </c>
      <c r="H835" t="s">
        <v>1895</v>
      </c>
    </row>
    <row r="836" spans="1:8" ht="15" customHeight="1" x14ac:dyDescent="0.25">
      <c r="A836" t="s">
        <v>1896</v>
      </c>
      <c r="B836" t="s">
        <v>1897</v>
      </c>
      <c r="C836" s="1">
        <v>46153</v>
      </c>
      <c r="D836" s="5">
        <v>146.66999999999999</v>
      </c>
      <c r="E836" t="s">
        <v>558</v>
      </c>
      <c r="F836" t="s">
        <v>1049</v>
      </c>
      <c r="G836" t="s">
        <v>222</v>
      </c>
      <c r="H836" t="s">
        <v>1898</v>
      </c>
    </row>
    <row r="837" spans="1:8" ht="15" customHeight="1" x14ac:dyDescent="0.25">
      <c r="A837" t="s">
        <v>1899</v>
      </c>
      <c r="B837" t="s">
        <v>1900</v>
      </c>
      <c r="C837" s="1">
        <v>46153</v>
      </c>
      <c r="D837" s="5">
        <v>38.520000000000003</v>
      </c>
      <c r="E837" t="s">
        <v>558</v>
      </c>
      <c r="F837" t="s">
        <v>1049</v>
      </c>
      <c r="G837" t="s">
        <v>260</v>
      </c>
      <c r="H837" t="s">
        <v>1901</v>
      </c>
    </row>
    <row r="838" spans="1:8" ht="15" customHeight="1" x14ac:dyDescent="0.25">
      <c r="A838" t="s">
        <v>1747</v>
      </c>
      <c r="B838" t="s">
        <v>1748</v>
      </c>
      <c r="C838" s="1">
        <v>46153</v>
      </c>
      <c r="D838" s="5">
        <v>5.52</v>
      </c>
      <c r="E838" t="s">
        <v>558</v>
      </c>
      <c r="F838" t="s">
        <v>1049</v>
      </c>
      <c r="G838" t="s">
        <v>260</v>
      </c>
      <c r="H838" t="s">
        <v>1902</v>
      </c>
    </row>
    <row r="839" spans="1:8" ht="15" customHeight="1" x14ac:dyDescent="0.25">
      <c r="A839" t="s">
        <v>1903</v>
      </c>
      <c r="B839" t="s">
        <v>1904</v>
      </c>
      <c r="C839" s="1">
        <v>46154</v>
      </c>
      <c r="D839" s="5">
        <v>146.66999999999999</v>
      </c>
      <c r="E839" t="s">
        <v>558</v>
      </c>
      <c r="F839" t="s">
        <v>1049</v>
      </c>
      <c r="G839" t="s">
        <v>128</v>
      </c>
      <c r="H839" t="s">
        <v>1905</v>
      </c>
    </row>
    <row r="840" spans="1:8" ht="15" customHeight="1" x14ac:dyDescent="0.25">
      <c r="A840" t="s">
        <v>1903</v>
      </c>
      <c r="B840" t="s">
        <v>1904</v>
      </c>
      <c r="C840" s="1">
        <v>46154</v>
      </c>
      <c r="D840" s="5">
        <v>150.6</v>
      </c>
      <c r="E840" t="s">
        <v>558</v>
      </c>
      <c r="F840" t="s">
        <v>1049</v>
      </c>
      <c r="G840" t="s">
        <v>128</v>
      </c>
      <c r="H840" t="s">
        <v>1906</v>
      </c>
    </row>
    <row r="841" spans="1:8" ht="15" customHeight="1" x14ac:dyDescent="0.25">
      <c r="A841" t="s">
        <v>623</v>
      </c>
      <c r="B841" t="s">
        <v>624</v>
      </c>
      <c r="C841" s="1">
        <v>46154</v>
      </c>
      <c r="D841" s="5">
        <v>3</v>
      </c>
      <c r="E841" t="s">
        <v>558</v>
      </c>
      <c r="F841" t="s">
        <v>1049</v>
      </c>
      <c r="G841" t="s">
        <v>124</v>
      </c>
      <c r="H841" t="s">
        <v>1907</v>
      </c>
    </row>
    <row r="842" spans="1:8" ht="15" customHeight="1" x14ac:dyDescent="0.25">
      <c r="A842" t="s">
        <v>1833</v>
      </c>
      <c r="B842" t="s">
        <v>1834</v>
      </c>
      <c r="C842" s="1">
        <v>46154</v>
      </c>
      <c r="D842" s="5">
        <v>3</v>
      </c>
      <c r="E842" t="s">
        <v>558</v>
      </c>
      <c r="F842" t="s">
        <v>1049</v>
      </c>
      <c r="G842" t="s">
        <v>117</v>
      </c>
      <c r="H842" t="s">
        <v>1908</v>
      </c>
    </row>
    <row r="843" spans="1:8" ht="15" customHeight="1" x14ac:dyDescent="0.25">
      <c r="A843" t="s">
        <v>1909</v>
      </c>
      <c r="B843" t="s">
        <v>1910</v>
      </c>
      <c r="C843" s="1">
        <v>46154</v>
      </c>
      <c r="D843" s="5">
        <v>136.76</v>
      </c>
      <c r="E843" t="s">
        <v>558</v>
      </c>
      <c r="F843" t="s">
        <v>1049</v>
      </c>
      <c r="G843" t="s">
        <v>292</v>
      </c>
      <c r="H843" t="s">
        <v>1911</v>
      </c>
    </row>
    <row r="844" spans="1:8" ht="15" customHeight="1" x14ac:dyDescent="0.25">
      <c r="A844" t="s">
        <v>1912</v>
      </c>
      <c r="B844" t="s">
        <v>1913</v>
      </c>
      <c r="C844" s="1">
        <v>46154</v>
      </c>
      <c r="D844" s="5">
        <v>26</v>
      </c>
      <c r="E844" t="s">
        <v>558</v>
      </c>
      <c r="F844" t="s">
        <v>1049</v>
      </c>
      <c r="G844" t="s">
        <v>128</v>
      </c>
      <c r="H844" t="s">
        <v>1914</v>
      </c>
    </row>
    <row r="845" spans="1:8" ht="15" customHeight="1" x14ac:dyDescent="0.25">
      <c r="A845" t="s">
        <v>579</v>
      </c>
      <c r="B845" t="s">
        <v>580</v>
      </c>
      <c r="C845" s="1">
        <v>46154</v>
      </c>
      <c r="D845" s="5">
        <v>26</v>
      </c>
      <c r="E845" t="s">
        <v>558</v>
      </c>
      <c r="F845" t="s">
        <v>1049</v>
      </c>
      <c r="G845" t="s">
        <v>128</v>
      </c>
      <c r="H845" t="s">
        <v>1915</v>
      </c>
    </row>
    <row r="846" spans="1:8" ht="15" customHeight="1" x14ac:dyDescent="0.25">
      <c r="A846" t="s">
        <v>1916</v>
      </c>
      <c r="B846" t="s">
        <v>1917</v>
      </c>
      <c r="C846" s="1">
        <v>46154</v>
      </c>
      <c r="D846" s="5">
        <v>38.520000000000003</v>
      </c>
      <c r="E846" t="s">
        <v>558</v>
      </c>
      <c r="F846" t="s">
        <v>1049</v>
      </c>
      <c r="G846" t="s">
        <v>128</v>
      </c>
      <c r="H846" t="s">
        <v>1918</v>
      </c>
    </row>
    <row r="847" spans="1:8" ht="15" customHeight="1" x14ac:dyDescent="0.25">
      <c r="A847" t="s">
        <v>716</v>
      </c>
      <c r="B847" t="s">
        <v>717</v>
      </c>
      <c r="C847" s="1">
        <v>46154</v>
      </c>
      <c r="D847" s="5">
        <v>5.52</v>
      </c>
      <c r="E847" t="s">
        <v>558</v>
      </c>
      <c r="F847" t="s">
        <v>1049</v>
      </c>
      <c r="G847" t="s">
        <v>128</v>
      </c>
      <c r="H847" t="s">
        <v>1919</v>
      </c>
    </row>
    <row r="848" spans="1:8" ht="15" customHeight="1" x14ac:dyDescent="0.25">
      <c r="A848" t="s">
        <v>526</v>
      </c>
      <c r="B848" t="s">
        <v>527</v>
      </c>
      <c r="C848" s="1">
        <v>46154</v>
      </c>
      <c r="D848" s="5">
        <v>5.52</v>
      </c>
      <c r="E848" t="s">
        <v>558</v>
      </c>
      <c r="F848" t="s">
        <v>1049</v>
      </c>
      <c r="G848" t="s">
        <v>292</v>
      </c>
      <c r="H848" t="s">
        <v>1920</v>
      </c>
    </row>
    <row r="849" spans="1:8" ht="15" customHeight="1" x14ac:dyDescent="0.25">
      <c r="A849" t="s">
        <v>1921</v>
      </c>
      <c r="B849" t="s">
        <v>1922</v>
      </c>
      <c r="C849" s="1">
        <v>46154</v>
      </c>
      <c r="D849" s="5">
        <v>38.520000000000003</v>
      </c>
      <c r="E849" t="s">
        <v>558</v>
      </c>
      <c r="F849" t="s">
        <v>1049</v>
      </c>
      <c r="G849" t="s">
        <v>128</v>
      </c>
      <c r="H849" t="s">
        <v>1923</v>
      </c>
    </row>
    <row r="850" spans="1:8" ht="15" customHeight="1" x14ac:dyDescent="0.25">
      <c r="A850" t="s">
        <v>649</v>
      </c>
      <c r="B850" t="s">
        <v>650</v>
      </c>
      <c r="C850" s="1">
        <v>46154</v>
      </c>
      <c r="D850" s="5">
        <v>26</v>
      </c>
      <c r="E850" t="s">
        <v>558</v>
      </c>
      <c r="F850" t="s">
        <v>1049</v>
      </c>
      <c r="G850" t="s">
        <v>128</v>
      </c>
      <c r="H850" t="s">
        <v>1924</v>
      </c>
    </row>
    <row r="851" spans="1:8" ht="15" customHeight="1" x14ac:dyDescent="0.25">
      <c r="A851" t="s">
        <v>1267</v>
      </c>
      <c r="B851" t="s">
        <v>404</v>
      </c>
      <c r="C851" s="1">
        <v>46154</v>
      </c>
      <c r="D851" s="5">
        <v>3</v>
      </c>
      <c r="E851" t="s">
        <v>558</v>
      </c>
      <c r="F851" t="s">
        <v>1049</v>
      </c>
      <c r="G851" t="s">
        <v>117</v>
      </c>
      <c r="H851" t="s">
        <v>1925</v>
      </c>
    </row>
    <row r="852" spans="1:8" ht="15" customHeight="1" x14ac:dyDescent="0.25">
      <c r="A852" t="s">
        <v>214</v>
      </c>
      <c r="B852" t="s">
        <v>1926</v>
      </c>
      <c r="C852" s="1">
        <v>46154</v>
      </c>
      <c r="D852" s="5">
        <v>38.520000000000003</v>
      </c>
      <c r="E852" t="s">
        <v>558</v>
      </c>
      <c r="F852" t="s">
        <v>1049</v>
      </c>
      <c r="G852" t="s">
        <v>128</v>
      </c>
      <c r="H852" t="s">
        <v>1927</v>
      </c>
    </row>
    <row r="853" spans="1:8" ht="15" customHeight="1" x14ac:dyDescent="0.25">
      <c r="A853" t="s">
        <v>1598</v>
      </c>
      <c r="B853" t="s">
        <v>1599</v>
      </c>
      <c r="C853" s="1">
        <v>46154</v>
      </c>
      <c r="D853" s="5">
        <v>150.6</v>
      </c>
      <c r="E853" t="s">
        <v>558</v>
      </c>
      <c r="F853" t="s">
        <v>1049</v>
      </c>
      <c r="G853" t="s">
        <v>128</v>
      </c>
      <c r="H853" t="s">
        <v>1928</v>
      </c>
    </row>
    <row r="854" spans="1:8" ht="15" customHeight="1" x14ac:dyDescent="0.25">
      <c r="A854" t="s">
        <v>1929</v>
      </c>
      <c r="B854" t="s">
        <v>1930</v>
      </c>
      <c r="C854" s="1">
        <v>46154</v>
      </c>
      <c r="D854" s="5">
        <v>7.72</v>
      </c>
      <c r="E854" t="s">
        <v>558</v>
      </c>
      <c r="F854" t="s">
        <v>1049</v>
      </c>
      <c r="G854" t="s">
        <v>124</v>
      </c>
      <c r="H854" t="s">
        <v>1931</v>
      </c>
    </row>
    <row r="855" spans="1:8" ht="15" customHeight="1" x14ac:dyDescent="0.25">
      <c r="A855" t="s">
        <v>1932</v>
      </c>
      <c r="B855" t="s">
        <v>1933</v>
      </c>
      <c r="C855" s="1">
        <v>46154</v>
      </c>
      <c r="D855" s="5">
        <v>36.08</v>
      </c>
      <c r="E855" t="s">
        <v>558</v>
      </c>
      <c r="F855" t="s">
        <v>1049</v>
      </c>
      <c r="G855" t="s">
        <v>128</v>
      </c>
      <c r="H855" t="s">
        <v>1934</v>
      </c>
    </row>
    <row r="856" spans="1:8" ht="15" customHeight="1" x14ac:dyDescent="0.25">
      <c r="A856" t="s">
        <v>1841</v>
      </c>
      <c r="B856" t="s">
        <v>1935</v>
      </c>
      <c r="C856" s="1">
        <v>46154</v>
      </c>
      <c r="D856" s="5">
        <v>14.68</v>
      </c>
      <c r="E856" t="s">
        <v>558</v>
      </c>
      <c r="F856" t="s">
        <v>1049</v>
      </c>
      <c r="G856" t="s">
        <v>128</v>
      </c>
      <c r="H856" t="s">
        <v>1936</v>
      </c>
    </row>
    <row r="857" spans="1:8" ht="15" customHeight="1" x14ac:dyDescent="0.25">
      <c r="A857" t="s">
        <v>1937</v>
      </c>
      <c r="B857" t="s">
        <v>1938</v>
      </c>
      <c r="C857" s="1">
        <v>46154</v>
      </c>
      <c r="D857" s="5">
        <v>3.86</v>
      </c>
      <c r="E857" t="s">
        <v>558</v>
      </c>
      <c r="F857" t="s">
        <v>1049</v>
      </c>
      <c r="G857" t="s">
        <v>1689</v>
      </c>
      <c r="H857" t="s">
        <v>1939</v>
      </c>
    </row>
    <row r="858" spans="1:8" ht="15" customHeight="1" x14ac:dyDescent="0.25">
      <c r="A858" t="s">
        <v>7</v>
      </c>
      <c r="B858" t="s">
        <v>1940</v>
      </c>
      <c r="C858" s="1">
        <v>46155</v>
      </c>
      <c r="D858" s="5">
        <v>47.31</v>
      </c>
      <c r="E858" t="s">
        <v>558</v>
      </c>
      <c r="F858" t="s">
        <v>1049</v>
      </c>
      <c r="G858" t="s">
        <v>148</v>
      </c>
      <c r="H858" t="s">
        <v>1941</v>
      </c>
    </row>
    <row r="859" spans="1:8" ht="15" customHeight="1" x14ac:dyDescent="0.25">
      <c r="A859" t="s">
        <v>1179</v>
      </c>
      <c r="B859" t="s">
        <v>1180</v>
      </c>
      <c r="C859" s="1">
        <v>46155</v>
      </c>
      <c r="D859" s="5">
        <v>3.86</v>
      </c>
      <c r="E859" t="s">
        <v>558</v>
      </c>
      <c r="F859" t="s">
        <v>1049</v>
      </c>
      <c r="G859" t="s">
        <v>124</v>
      </c>
      <c r="H859" t="s">
        <v>1942</v>
      </c>
    </row>
    <row r="860" spans="1:8" ht="15" customHeight="1" x14ac:dyDescent="0.25">
      <c r="A860" t="s">
        <v>364</v>
      </c>
      <c r="B860" t="s">
        <v>365</v>
      </c>
      <c r="C860" s="1">
        <v>46155</v>
      </c>
      <c r="D860" s="5">
        <v>26</v>
      </c>
      <c r="E860" t="s">
        <v>558</v>
      </c>
      <c r="F860" t="s">
        <v>1049</v>
      </c>
      <c r="G860" t="s">
        <v>128</v>
      </c>
      <c r="H860" t="s">
        <v>1943</v>
      </c>
    </row>
    <row r="861" spans="1:8" ht="15" customHeight="1" x14ac:dyDescent="0.25">
      <c r="A861" t="s">
        <v>1457</v>
      </c>
      <c r="B861" t="s">
        <v>1458</v>
      </c>
      <c r="C861" s="1">
        <v>46155</v>
      </c>
      <c r="D861" s="5">
        <v>26</v>
      </c>
      <c r="E861" t="s">
        <v>558</v>
      </c>
      <c r="F861" t="s">
        <v>1049</v>
      </c>
      <c r="G861" t="s">
        <v>128</v>
      </c>
      <c r="H861" t="s">
        <v>1944</v>
      </c>
    </row>
    <row r="862" spans="1:8" ht="15" customHeight="1" x14ac:dyDescent="0.25">
      <c r="A862" t="s">
        <v>599</v>
      </c>
      <c r="B862" t="s">
        <v>600</v>
      </c>
      <c r="C862" s="1">
        <v>46155</v>
      </c>
      <c r="D862" s="5">
        <v>5.52</v>
      </c>
      <c r="E862" t="s">
        <v>558</v>
      </c>
      <c r="F862" t="s">
        <v>1049</v>
      </c>
      <c r="G862" t="s">
        <v>128</v>
      </c>
      <c r="H862" t="s">
        <v>1945</v>
      </c>
    </row>
    <row r="863" spans="1:8" ht="15" customHeight="1" x14ac:dyDescent="0.25">
      <c r="A863" t="s">
        <v>388</v>
      </c>
      <c r="B863" t="s">
        <v>389</v>
      </c>
      <c r="C863" s="1">
        <v>46155</v>
      </c>
      <c r="D863" s="5">
        <v>26</v>
      </c>
      <c r="E863" t="s">
        <v>558</v>
      </c>
      <c r="F863" t="s">
        <v>1049</v>
      </c>
      <c r="G863" t="s">
        <v>128</v>
      </c>
      <c r="H863" t="s">
        <v>1946</v>
      </c>
    </row>
    <row r="864" spans="1:8" ht="15" customHeight="1" x14ac:dyDescent="0.25">
      <c r="A864" t="s">
        <v>1775</v>
      </c>
      <c r="B864" t="s">
        <v>1776</v>
      </c>
      <c r="C864" s="1">
        <v>46155</v>
      </c>
      <c r="D864" s="5">
        <v>5.52</v>
      </c>
      <c r="E864" t="s">
        <v>558</v>
      </c>
      <c r="F864" t="s">
        <v>1049</v>
      </c>
      <c r="G864" t="s">
        <v>128</v>
      </c>
      <c r="H864" t="s">
        <v>1947</v>
      </c>
    </row>
    <row r="865" spans="1:8" ht="15" customHeight="1" x14ac:dyDescent="0.25">
      <c r="A865" t="s">
        <v>955</v>
      </c>
      <c r="B865" t="s">
        <v>956</v>
      </c>
      <c r="C865" s="1">
        <v>46155</v>
      </c>
      <c r="D865" s="5">
        <v>5.52</v>
      </c>
      <c r="E865" t="s">
        <v>558</v>
      </c>
      <c r="F865" t="s">
        <v>1049</v>
      </c>
      <c r="G865" t="s">
        <v>128</v>
      </c>
      <c r="H865" t="s">
        <v>1948</v>
      </c>
    </row>
    <row r="866" spans="1:8" ht="15" customHeight="1" x14ac:dyDescent="0.25">
      <c r="A866" t="s">
        <v>277</v>
      </c>
      <c r="B866" t="s">
        <v>278</v>
      </c>
      <c r="C866" s="1">
        <v>46155</v>
      </c>
      <c r="D866" s="5">
        <v>69.599999999999994</v>
      </c>
      <c r="E866" t="s">
        <v>558</v>
      </c>
      <c r="F866" t="s">
        <v>1049</v>
      </c>
      <c r="G866" t="s">
        <v>117</v>
      </c>
      <c r="H866" t="s">
        <v>1949</v>
      </c>
    </row>
    <row r="867" spans="1:8" ht="15" customHeight="1" x14ac:dyDescent="0.25">
      <c r="A867" t="s">
        <v>579</v>
      </c>
      <c r="B867" t="s">
        <v>580</v>
      </c>
      <c r="C867" s="1">
        <v>46155</v>
      </c>
      <c r="D867" s="5">
        <v>26</v>
      </c>
      <c r="E867" t="s">
        <v>558</v>
      </c>
      <c r="F867" t="s">
        <v>1049</v>
      </c>
      <c r="G867" t="s">
        <v>128</v>
      </c>
      <c r="H867" t="s">
        <v>1950</v>
      </c>
    </row>
    <row r="868" spans="1:8" ht="15" customHeight="1" x14ac:dyDescent="0.25">
      <c r="A868" t="s">
        <v>825</v>
      </c>
      <c r="B868" t="s">
        <v>826</v>
      </c>
      <c r="C868" s="1">
        <v>46155</v>
      </c>
      <c r="D868" s="5">
        <v>26</v>
      </c>
      <c r="E868" t="s">
        <v>558</v>
      </c>
      <c r="F868" t="s">
        <v>1049</v>
      </c>
      <c r="G868" t="s">
        <v>128</v>
      </c>
      <c r="H868" t="s">
        <v>1951</v>
      </c>
    </row>
    <row r="869" spans="1:8" ht="15" customHeight="1" x14ac:dyDescent="0.25">
      <c r="A869" t="s">
        <v>562</v>
      </c>
      <c r="B869" t="s">
        <v>563</v>
      </c>
      <c r="C869" s="1">
        <v>46155</v>
      </c>
      <c r="D869" s="5">
        <v>26</v>
      </c>
      <c r="E869" t="s">
        <v>558</v>
      </c>
      <c r="F869" t="s">
        <v>1049</v>
      </c>
      <c r="G869" t="s">
        <v>128</v>
      </c>
      <c r="H869" t="s">
        <v>1952</v>
      </c>
    </row>
    <row r="870" spans="1:8" ht="15" customHeight="1" x14ac:dyDescent="0.25">
      <c r="A870" t="s">
        <v>1671</v>
      </c>
      <c r="B870" t="s">
        <v>1672</v>
      </c>
      <c r="C870" s="1">
        <v>46155</v>
      </c>
      <c r="D870" s="5">
        <v>38.520000000000003</v>
      </c>
      <c r="E870" t="s">
        <v>558</v>
      </c>
      <c r="F870" t="s">
        <v>1049</v>
      </c>
      <c r="G870" t="s">
        <v>128</v>
      </c>
      <c r="H870" t="s">
        <v>1953</v>
      </c>
    </row>
    <row r="871" spans="1:8" ht="15" customHeight="1" x14ac:dyDescent="0.25">
      <c r="A871" t="s">
        <v>1954</v>
      </c>
      <c r="B871" t="s">
        <v>1955</v>
      </c>
      <c r="C871" s="1">
        <v>46155</v>
      </c>
      <c r="D871" s="5">
        <v>5.52</v>
      </c>
      <c r="E871" t="s">
        <v>558</v>
      </c>
      <c r="F871" t="s">
        <v>1049</v>
      </c>
      <c r="G871" t="s">
        <v>292</v>
      </c>
      <c r="H871" t="s">
        <v>1956</v>
      </c>
    </row>
    <row r="872" spans="1:8" ht="15" customHeight="1" x14ac:dyDescent="0.25">
      <c r="A872" t="s">
        <v>1529</v>
      </c>
      <c r="B872" t="s">
        <v>1530</v>
      </c>
      <c r="C872" s="1">
        <v>46155</v>
      </c>
      <c r="D872" s="5">
        <v>3.68</v>
      </c>
      <c r="E872" t="s">
        <v>558</v>
      </c>
      <c r="F872" t="s">
        <v>1049</v>
      </c>
      <c r="G872" t="s">
        <v>264</v>
      </c>
      <c r="H872" t="s">
        <v>1957</v>
      </c>
    </row>
    <row r="873" spans="1:8" ht="15" customHeight="1" x14ac:dyDescent="0.25">
      <c r="A873" t="s">
        <v>1958</v>
      </c>
      <c r="B873" t="s">
        <v>1959</v>
      </c>
      <c r="C873" s="1">
        <v>46155</v>
      </c>
      <c r="D873" s="5">
        <v>26</v>
      </c>
      <c r="E873" t="s">
        <v>558</v>
      </c>
      <c r="F873" t="s">
        <v>1049</v>
      </c>
      <c r="G873" t="s">
        <v>128</v>
      </c>
      <c r="H873" t="s">
        <v>1960</v>
      </c>
    </row>
    <row r="874" spans="1:8" ht="15" customHeight="1" x14ac:dyDescent="0.25">
      <c r="A874" t="s">
        <v>1961</v>
      </c>
      <c r="B874" t="s">
        <v>1962</v>
      </c>
      <c r="C874" s="1">
        <v>46155</v>
      </c>
      <c r="D874" s="5">
        <v>5.52</v>
      </c>
      <c r="E874" t="s">
        <v>558</v>
      </c>
      <c r="F874" t="s">
        <v>1049</v>
      </c>
      <c r="G874" t="s">
        <v>128</v>
      </c>
      <c r="H874" t="s">
        <v>1963</v>
      </c>
    </row>
    <row r="875" spans="1:8" ht="15" customHeight="1" x14ac:dyDescent="0.25">
      <c r="A875" t="s">
        <v>67</v>
      </c>
      <c r="B875" t="s">
        <v>67</v>
      </c>
      <c r="C875" s="1">
        <v>46155</v>
      </c>
      <c r="D875" s="5">
        <v>38.520000000000003</v>
      </c>
      <c r="E875" t="s">
        <v>558</v>
      </c>
      <c r="F875" t="s">
        <v>1049</v>
      </c>
      <c r="G875" t="s">
        <v>128</v>
      </c>
      <c r="H875" t="s">
        <v>1964</v>
      </c>
    </row>
    <row r="876" spans="1:8" ht="15" customHeight="1" x14ac:dyDescent="0.25">
      <c r="A876" t="s">
        <v>1965</v>
      </c>
      <c r="B876" t="s">
        <v>1966</v>
      </c>
      <c r="C876" s="1">
        <v>46155</v>
      </c>
      <c r="D876" s="5">
        <v>38.520000000000003</v>
      </c>
      <c r="E876" t="s">
        <v>558</v>
      </c>
      <c r="F876" t="s">
        <v>1049</v>
      </c>
      <c r="G876" t="s">
        <v>260</v>
      </c>
      <c r="H876" t="s">
        <v>1967</v>
      </c>
    </row>
    <row r="877" spans="1:8" ht="15" customHeight="1" x14ac:dyDescent="0.25">
      <c r="A877" t="s">
        <v>1709</v>
      </c>
      <c r="B877" t="s">
        <v>1710</v>
      </c>
      <c r="C877" s="1">
        <v>46155</v>
      </c>
      <c r="D877" s="5">
        <v>3.68</v>
      </c>
      <c r="E877" t="s">
        <v>558</v>
      </c>
      <c r="F877" t="s">
        <v>1049</v>
      </c>
      <c r="G877" t="s">
        <v>124</v>
      </c>
      <c r="H877" t="s">
        <v>1968</v>
      </c>
    </row>
    <row r="878" spans="1:8" ht="15" customHeight="1" x14ac:dyDescent="0.25">
      <c r="A878" t="s">
        <v>1887</v>
      </c>
      <c r="B878" t="s">
        <v>1888</v>
      </c>
      <c r="C878" s="1">
        <v>46155</v>
      </c>
      <c r="D878" s="5">
        <v>3.68</v>
      </c>
      <c r="E878" t="s">
        <v>558</v>
      </c>
      <c r="F878" t="s">
        <v>1049</v>
      </c>
      <c r="G878" t="s">
        <v>264</v>
      </c>
      <c r="H878" t="s">
        <v>1969</v>
      </c>
    </row>
    <row r="879" spans="1:8" ht="15" customHeight="1" x14ac:dyDescent="0.25">
      <c r="A879" t="s">
        <v>171</v>
      </c>
      <c r="B879" t="s">
        <v>172</v>
      </c>
      <c r="C879" s="1">
        <v>46155</v>
      </c>
      <c r="D879" s="5">
        <v>3.86</v>
      </c>
      <c r="E879" t="s">
        <v>558</v>
      </c>
      <c r="F879" t="s">
        <v>1049</v>
      </c>
      <c r="G879" t="s">
        <v>148</v>
      </c>
      <c r="H879" t="s">
        <v>1970</v>
      </c>
    </row>
    <row r="880" spans="1:8" ht="15" customHeight="1" x14ac:dyDescent="0.25">
      <c r="A880" t="s">
        <v>1633</v>
      </c>
      <c r="B880" t="s">
        <v>1634</v>
      </c>
      <c r="C880" s="1">
        <v>46155</v>
      </c>
      <c r="D880" s="5">
        <v>3.68</v>
      </c>
      <c r="E880" t="s">
        <v>558</v>
      </c>
      <c r="F880" t="s">
        <v>1049</v>
      </c>
      <c r="G880" t="s">
        <v>239</v>
      </c>
      <c r="H880" t="s">
        <v>1971</v>
      </c>
    </row>
    <row r="881" spans="1:8" ht="15" customHeight="1" x14ac:dyDescent="0.25">
      <c r="A881" t="s">
        <v>1207</v>
      </c>
      <c r="B881" t="s">
        <v>1208</v>
      </c>
      <c r="C881" s="1">
        <v>46155</v>
      </c>
      <c r="D881" s="5">
        <v>5.52</v>
      </c>
      <c r="E881" t="s">
        <v>558</v>
      </c>
      <c r="F881" t="s">
        <v>1049</v>
      </c>
      <c r="G881" t="s">
        <v>260</v>
      </c>
      <c r="H881" t="s">
        <v>1972</v>
      </c>
    </row>
    <row r="882" spans="1:8" ht="15" customHeight="1" x14ac:dyDescent="0.25">
      <c r="A882" t="s">
        <v>100</v>
      </c>
      <c r="B882" t="s">
        <v>101</v>
      </c>
      <c r="C882" s="1">
        <v>46155</v>
      </c>
      <c r="D882" s="5">
        <v>3.68</v>
      </c>
      <c r="E882" t="s">
        <v>558</v>
      </c>
      <c r="F882" t="s">
        <v>1049</v>
      </c>
      <c r="G882" t="s">
        <v>260</v>
      </c>
      <c r="H882" t="s">
        <v>1973</v>
      </c>
    </row>
    <row r="883" spans="1:8" ht="15" customHeight="1" x14ac:dyDescent="0.25">
      <c r="A883" t="s">
        <v>1974</v>
      </c>
      <c r="B883" t="s">
        <v>1975</v>
      </c>
      <c r="C883" s="1">
        <v>46155</v>
      </c>
      <c r="D883" s="5">
        <v>25.68</v>
      </c>
      <c r="E883" t="s">
        <v>558</v>
      </c>
      <c r="F883" t="s">
        <v>1049</v>
      </c>
      <c r="G883" t="s">
        <v>260</v>
      </c>
      <c r="H883" t="s">
        <v>1976</v>
      </c>
    </row>
    <row r="884" spans="1:8" ht="15" customHeight="1" x14ac:dyDescent="0.25">
      <c r="A884" t="s">
        <v>287</v>
      </c>
      <c r="B884" t="s">
        <v>288</v>
      </c>
      <c r="C884" s="1">
        <v>46156</v>
      </c>
      <c r="D884" s="5">
        <v>52.2</v>
      </c>
      <c r="E884" t="s">
        <v>558</v>
      </c>
      <c r="F884" t="s">
        <v>1049</v>
      </c>
      <c r="G884" t="s">
        <v>117</v>
      </c>
      <c r="H884" t="s">
        <v>1977</v>
      </c>
    </row>
    <row r="885" spans="1:8" ht="15" customHeight="1" x14ac:dyDescent="0.25">
      <c r="A885" t="s">
        <v>1229</v>
      </c>
      <c r="B885" t="s">
        <v>1230</v>
      </c>
      <c r="C885" s="1">
        <v>46156</v>
      </c>
      <c r="D885" s="5">
        <v>5.52</v>
      </c>
      <c r="E885" t="s">
        <v>558</v>
      </c>
      <c r="F885" t="s">
        <v>1049</v>
      </c>
      <c r="G885" t="s">
        <v>128</v>
      </c>
      <c r="H885" t="s">
        <v>1978</v>
      </c>
    </row>
    <row r="886" spans="1:8" ht="15" customHeight="1" x14ac:dyDescent="0.25">
      <c r="A886" t="s">
        <v>1979</v>
      </c>
      <c r="B886" t="s">
        <v>925</v>
      </c>
      <c r="C886" s="1">
        <v>46156</v>
      </c>
      <c r="D886" s="5">
        <v>3.68</v>
      </c>
      <c r="E886" t="s">
        <v>558</v>
      </c>
      <c r="F886" t="s">
        <v>1049</v>
      </c>
      <c r="G886" t="s">
        <v>124</v>
      </c>
      <c r="H886" t="s">
        <v>1980</v>
      </c>
    </row>
    <row r="887" spans="1:8" ht="15" customHeight="1" x14ac:dyDescent="0.25">
      <c r="A887" t="s">
        <v>406</v>
      </c>
      <c r="B887" t="s">
        <v>407</v>
      </c>
      <c r="C887" s="1">
        <v>46156</v>
      </c>
      <c r="D887" s="5">
        <v>38.520000000000003</v>
      </c>
      <c r="E887" t="s">
        <v>558</v>
      </c>
      <c r="F887" t="s">
        <v>1049</v>
      </c>
      <c r="G887" t="s">
        <v>260</v>
      </c>
      <c r="H887" t="s">
        <v>1981</v>
      </c>
    </row>
    <row r="888" spans="1:8" ht="15" customHeight="1" x14ac:dyDescent="0.25">
      <c r="A888" t="s">
        <v>493</v>
      </c>
      <c r="B888" t="s">
        <v>494</v>
      </c>
      <c r="C888" s="1">
        <v>46156</v>
      </c>
      <c r="D888" s="5">
        <v>26</v>
      </c>
      <c r="E888" t="s">
        <v>558</v>
      </c>
      <c r="F888" t="s">
        <v>1049</v>
      </c>
      <c r="G888" t="s">
        <v>128</v>
      </c>
      <c r="H888" t="s">
        <v>1982</v>
      </c>
    </row>
    <row r="889" spans="1:8" ht="15" customHeight="1" x14ac:dyDescent="0.25">
      <c r="A889" t="s">
        <v>1728</v>
      </c>
      <c r="B889" t="s">
        <v>742</v>
      </c>
      <c r="C889" s="1">
        <v>46156</v>
      </c>
      <c r="D889" s="5">
        <v>36.08</v>
      </c>
      <c r="E889" t="s">
        <v>558</v>
      </c>
      <c r="F889" t="s">
        <v>1049</v>
      </c>
      <c r="G889" t="s">
        <v>128</v>
      </c>
      <c r="H889" t="s">
        <v>1983</v>
      </c>
    </row>
    <row r="890" spans="1:8" ht="15" customHeight="1" x14ac:dyDescent="0.25">
      <c r="A890" t="s">
        <v>1984</v>
      </c>
      <c r="B890" t="s">
        <v>1985</v>
      </c>
      <c r="C890" s="1">
        <v>46156</v>
      </c>
      <c r="D890" s="5">
        <v>38.520000000000003</v>
      </c>
      <c r="E890" t="s">
        <v>558</v>
      </c>
      <c r="F890" t="s">
        <v>1049</v>
      </c>
      <c r="G890" t="s">
        <v>260</v>
      </c>
      <c r="H890" t="s">
        <v>1986</v>
      </c>
    </row>
    <row r="891" spans="1:8" ht="15" customHeight="1" x14ac:dyDescent="0.25">
      <c r="A891" t="s">
        <v>1987</v>
      </c>
      <c r="B891" t="s">
        <v>1988</v>
      </c>
      <c r="C891" s="1">
        <v>46156</v>
      </c>
      <c r="D891" s="5">
        <v>25.68</v>
      </c>
      <c r="E891" t="s">
        <v>558</v>
      </c>
      <c r="F891" t="s">
        <v>1049</v>
      </c>
      <c r="G891" t="s">
        <v>260</v>
      </c>
      <c r="H891" t="s">
        <v>1989</v>
      </c>
    </row>
    <row r="892" spans="1:8" ht="15" customHeight="1" x14ac:dyDescent="0.25">
      <c r="A892" t="s">
        <v>1990</v>
      </c>
      <c r="B892" t="s">
        <v>1991</v>
      </c>
      <c r="C892" s="1">
        <v>46156</v>
      </c>
      <c r="D892" s="5">
        <v>146.66999999999999</v>
      </c>
      <c r="E892" t="s">
        <v>558</v>
      </c>
      <c r="F892" t="s">
        <v>1049</v>
      </c>
      <c r="G892" t="s">
        <v>222</v>
      </c>
      <c r="H892" t="s">
        <v>1992</v>
      </c>
    </row>
    <row r="893" spans="1:8" ht="15" customHeight="1" x14ac:dyDescent="0.25">
      <c r="A893" t="s">
        <v>1245</v>
      </c>
      <c r="B893" t="s">
        <v>1993</v>
      </c>
      <c r="C893" s="1">
        <v>46156</v>
      </c>
      <c r="D893" s="5">
        <v>38.520000000000003</v>
      </c>
      <c r="E893" t="s">
        <v>558</v>
      </c>
      <c r="F893" t="s">
        <v>1049</v>
      </c>
      <c r="G893" t="s">
        <v>128</v>
      </c>
      <c r="H893" t="s">
        <v>1994</v>
      </c>
    </row>
    <row r="894" spans="1:8" ht="15" customHeight="1" x14ac:dyDescent="0.25">
      <c r="A894" t="s">
        <v>181</v>
      </c>
      <c r="B894" t="s">
        <v>182</v>
      </c>
      <c r="C894" s="1">
        <v>46156</v>
      </c>
      <c r="D894" s="5">
        <v>3.68</v>
      </c>
      <c r="E894" t="s">
        <v>558</v>
      </c>
      <c r="F894" t="s">
        <v>1049</v>
      </c>
      <c r="G894" t="s">
        <v>124</v>
      </c>
      <c r="H894" t="s">
        <v>1995</v>
      </c>
    </row>
    <row r="895" spans="1:8" ht="15" customHeight="1" x14ac:dyDescent="0.25">
      <c r="A895" t="s">
        <v>82</v>
      </c>
      <c r="B895" t="s">
        <v>83</v>
      </c>
      <c r="C895" s="1">
        <v>46156</v>
      </c>
      <c r="D895" s="5">
        <v>3.68</v>
      </c>
      <c r="E895" t="s">
        <v>558</v>
      </c>
      <c r="F895" t="s">
        <v>1049</v>
      </c>
      <c r="G895" t="s">
        <v>124</v>
      </c>
      <c r="H895" t="s">
        <v>1996</v>
      </c>
    </row>
    <row r="896" spans="1:8" ht="15" customHeight="1" x14ac:dyDescent="0.25">
      <c r="A896" t="s">
        <v>1997</v>
      </c>
      <c r="B896" t="s">
        <v>1998</v>
      </c>
      <c r="C896" s="1">
        <v>46156</v>
      </c>
      <c r="D896" s="5">
        <v>3.68</v>
      </c>
      <c r="E896" t="s">
        <v>558</v>
      </c>
      <c r="F896" t="s">
        <v>1049</v>
      </c>
      <c r="G896" t="s">
        <v>264</v>
      </c>
      <c r="H896" t="s">
        <v>1999</v>
      </c>
    </row>
    <row r="897" spans="1:8" ht="15" customHeight="1" x14ac:dyDescent="0.25">
      <c r="A897" t="s">
        <v>891</v>
      </c>
      <c r="B897" t="s">
        <v>892</v>
      </c>
      <c r="C897" s="1">
        <v>46156</v>
      </c>
      <c r="D897" s="5">
        <v>31.2</v>
      </c>
      <c r="E897" t="s">
        <v>558</v>
      </c>
      <c r="F897" t="s">
        <v>1049</v>
      </c>
      <c r="G897" t="s">
        <v>135</v>
      </c>
      <c r="H897" t="s">
        <v>2000</v>
      </c>
    </row>
    <row r="898" spans="1:8" ht="15" customHeight="1" x14ac:dyDescent="0.25">
      <c r="A898" t="s">
        <v>1179</v>
      </c>
      <c r="B898" t="s">
        <v>2001</v>
      </c>
      <c r="C898" s="1">
        <v>46156</v>
      </c>
      <c r="E898" t="s">
        <v>558</v>
      </c>
      <c r="F898" t="s">
        <v>1049</v>
      </c>
      <c r="G898" t="s">
        <v>148</v>
      </c>
      <c r="H898" t="s">
        <v>2002</v>
      </c>
    </row>
    <row r="899" spans="1:8" ht="15" customHeight="1" x14ac:dyDescent="0.25">
      <c r="A899" t="s">
        <v>2003</v>
      </c>
      <c r="B899" t="s">
        <v>2004</v>
      </c>
      <c r="C899" s="1">
        <v>46156</v>
      </c>
      <c r="D899" s="5">
        <v>141.79</v>
      </c>
      <c r="E899" t="s">
        <v>558</v>
      </c>
      <c r="F899" t="s">
        <v>1049</v>
      </c>
      <c r="G899" t="s">
        <v>235</v>
      </c>
      <c r="H899" t="s">
        <v>2005</v>
      </c>
    </row>
    <row r="900" spans="1:8" ht="15" customHeight="1" x14ac:dyDescent="0.25">
      <c r="A900" t="s">
        <v>2006</v>
      </c>
      <c r="B900" t="s">
        <v>2007</v>
      </c>
      <c r="C900" s="1">
        <v>46156</v>
      </c>
      <c r="D900" s="5">
        <v>38.520000000000003</v>
      </c>
      <c r="E900" t="s">
        <v>558</v>
      </c>
      <c r="F900" t="s">
        <v>1049</v>
      </c>
      <c r="G900" t="s">
        <v>260</v>
      </c>
      <c r="H900" t="s">
        <v>2008</v>
      </c>
    </row>
    <row r="901" spans="1:8" ht="15" customHeight="1" x14ac:dyDescent="0.25">
      <c r="A901" t="s">
        <v>385</v>
      </c>
      <c r="B901" t="s">
        <v>386</v>
      </c>
      <c r="C901" s="1">
        <v>46157</v>
      </c>
      <c r="D901" s="5">
        <v>26</v>
      </c>
      <c r="E901" t="s">
        <v>558</v>
      </c>
      <c r="F901" t="s">
        <v>1049</v>
      </c>
      <c r="G901" t="s">
        <v>128</v>
      </c>
      <c r="H901" t="s">
        <v>2009</v>
      </c>
    </row>
    <row r="902" spans="1:8" ht="15" customHeight="1" x14ac:dyDescent="0.25">
      <c r="A902" t="s">
        <v>1793</v>
      </c>
      <c r="B902" t="s">
        <v>1128</v>
      </c>
      <c r="C902" s="1">
        <v>46157</v>
      </c>
      <c r="D902" s="5">
        <v>3</v>
      </c>
      <c r="E902" t="s">
        <v>558</v>
      </c>
      <c r="F902" t="s">
        <v>1049</v>
      </c>
      <c r="G902" t="s">
        <v>117</v>
      </c>
      <c r="H902" t="s">
        <v>2010</v>
      </c>
    </row>
    <row r="903" spans="1:8" ht="15" customHeight="1" x14ac:dyDescent="0.25">
      <c r="A903" t="s">
        <v>1663</v>
      </c>
      <c r="B903" t="s">
        <v>1664</v>
      </c>
      <c r="C903" s="1">
        <v>46157</v>
      </c>
      <c r="D903" s="5">
        <v>3</v>
      </c>
      <c r="E903" t="s">
        <v>558</v>
      </c>
      <c r="F903" t="s">
        <v>1049</v>
      </c>
      <c r="G903" t="s">
        <v>117</v>
      </c>
      <c r="H903" t="s">
        <v>2011</v>
      </c>
    </row>
    <row r="904" spans="1:8" ht="15" customHeight="1" x14ac:dyDescent="0.25">
      <c r="A904" t="s">
        <v>623</v>
      </c>
      <c r="B904" t="s">
        <v>624</v>
      </c>
      <c r="C904" s="1">
        <v>46157</v>
      </c>
      <c r="D904" s="5">
        <v>3</v>
      </c>
      <c r="E904" t="s">
        <v>558</v>
      </c>
      <c r="F904" t="s">
        <v>1049</v>
      </c>
      <c r="G904" t="s">
        <v>124</v>
      </c>
      <c r="H904" t="s">
        <v>2012</v>
      </c>
    </row>
    <row r="905" spans="1:8" ht="15" customHeight="1" x14ac:dyDescent="0.25">
      <c r="A905" t="s">
        <v>2013</v>
      </c>
      <c r="B905" t="s">
        <v>2014</v>
      </c>
      <c r="C905" s="1">
        <v>46157</v>
      </c>
      <c r="D905" s="5">
        <v>3.68</v>
      </c>
      <c r="E905" t="s">
        <v>558</v>
      </c>
      <c r="F905" t="s">
        <v>1049</v>
      </c>
      <c r="G905" t="s">
        <v>264</v>
      </c>
      <c r="H905" t="s">
        <v>2015</v>
      </c>
    </row>
    <row r="906" spans="1:8" ht="15" customHeight="1" x14ac:dyDescent="0.25">
      <c r="A906" t="s">
        <v>2016</v>
      </c>
      <c r="B906" t="s">
        <v>2017</v>
      </c>
      <c r="C906" s="1">
        <v>46157</v>
      </c>
      <c r="D906" s="5">
        <v>131.9</v>
      </c>
      <c r="E906" t="s">
        <v>558</v>
      </c>
      <c r="F906" t="s">
        <v>1049</v>
      </c>
      <c r="G906" t="s">
        <v>369</v>
      </c>
      <c r="H906" t="s">
        <v>2018</v>
      </c>
    </row>
    <row r="907" spans="1:8" ht="15" customHeight="1" x14ac:dyDescent="0.25">
      <c r="A907" t="s">
        <v>2019</v>
      </c>
      <c r="B907" t="s">
        <v>2020</v>
      </c>
      <c r="C907" s="1">
        <v>46157</v>
      </c>
      <c r="D907" s="5">
        <v>7.72</v>
      </c>
      <c r="E907" t="s">
        <v>558</v>
      </c>
      <c r="F907" t="s">
        <v>1049</v>
      </c>
      <c r="G907" t="s">
        <v>124</v>
      </c>
      <c r="H907" t="s">
        <v>2021</v>
      </c>
    </row>
    <row r="908" spans="1:8" ht="15" customHeight="1" x14ac:dyDescent="0.25">
      <c r="A908" t="s">
        <v>2022</v>
      </c>
      <c r="B908" t="s">
        <v>2023</v>
      </c>
      <c r="C908" s="1">
        <v>46157</v>
      </c>
      <c r="D908" s="5">
        <v>34.799999999999997</v>
      </c>
      <c r="E908" t="s">
        <v>558</v>
      </c>
      <c r="F908" t="s">
        <v>1049</v>
      </c>
      <c r="G908" t="s">
        <v>117</v>
      </c>
      <c r="H908" t="s">
        <v>2024</v>
      </c>
    </row>
    <row r="909" spans="1:8" ht="15" customHeight="1" x14ac:dyDescent="0.25">
      <c r="A909" t="s">
        <v>237</v>
      </c>
      <c r="B909" t="s">
        <v>238</v>
      </c>
      <c r="C909" s="1">
        <v>46157</v>
      </c>
      <c r="D909" s="5">
        <v>3.68</v>
      </c>
      <c r="E909" t="s">
        <v>558</v>
      </c>
      <c r="F909" t="s">
        <v>1049</v>
      </c>
      <c r="G909" t="s">
        <v>369</v>
      </c>
      <c r="H909" t="s">
        <v>2025</v>
      </c>
    </row>
    <row r="910" spans="1:8" ht="15" customHeight="1" x14ac:dyDescent="0.25">
      <c r="A910" t="s">
        <v>1216</v>
      </c>
      <c r="B910" t="s">
        <v>1217</v>
      </c>
      <c r="C910" s="1">
        <v>46157</v>
      </c>
      <c r="D910" s="5">
        <v>3</v>
      </c>
      <c r="E910" t="s">
        <v>558</v>
      </c>
      <c r="F910" t="s">
        <v>1049</v>
      </c>
      <c r="G910" t="s">
        <v>117</v>
      </c>
      <c r="H910" t="s">
        <v>2026</v>
      </c>
    </row>
    <row r="911" spans="1:8" ht="15" customHeight="1" x14ac:dyDescent="0.25">
      <c r="A911" t="s">
        <v>1709</v>
      </c>
      <c r="B911" t="s">
        <v>1710</v>
      </c>
      <c r="C911" s="1">
        <v>46157</v>
      </c>
      <c r="D911" s="5">
        <v>3</v>
      </c>
      <c r="E911" t="s">
        <v>558</v>
      </c>
      <c r="F911" t="s">
        <v>1049</v>
      </c>
      <c r="G911" t="s">
        <v>124</v>
      </c>
      <c r="H911" t="s">
        <v>2027</v>
      </c>
    </row>
    <row r="912" spans="1:8" ht="15" customHeight="1" x14ac:dyDescent="0.25">
      <c r="A912" t="s">
        <v>2028</v>
      </c>
      <c r="B912" t="s">
        <v>2029</v>
      </c>
      <c r="C912" s="1">
        <v>46157</v>
      </c>
      <c r="D912" s="5">
        <f>1.84*2</f>
        <v>3.68</v>
      </c>
      <c r="E912" t="s">
        <v>558</v>
      </c>
      <c r="F912" t="s">
        <v>1049</v>
      </c>
      <c r="G912" s="3" t="s">
        <v>260</v>
      </c>
      <c r="H912" t="s">
        <v>2030</v>
      </c>
    </row>
    <row r="913" spans="1:8" ht="15" customHeight="1" x14ac:dyDescent="0.25">
      <c r="A913" t="s">
        <v>1586</v>
      </c>
      <c r="B913" t="s">
        <v>1587</v>
      </c>
      <c r="C913" s="1">
        <v>46157</v>
      </c>
      <c r="D913" s="5">
        <v>3.86</v>
      </c>
      <c r="E913" t="s">
        <v>558</v>
      </c>
      <c r="F913" t="s">
        <v>1049</v>
      </c>
      <c r="G913" t="s">
        <v>183</v>
      </c>
      <c r="H913" t="s">
        <v>2031</v>
      </c>
    </row>
    <row r="914" spans="1:8" ht="15" customHeight="1" x14ac:dyDescent="0.25">
      <c r="A914" t="s">
        <v>1052</v>
      </c>
      <c r="B914" t="s">
        <v>989</v>
      </c>
      <c r="C914" s="1">
        <v>46157</v>
      </c>
      <c r="D914" s="5">
        <v>5.52</v>
      </c>
      <c r="E914" t="s">
        <v>558</v>
      </c>
      <c r="F914" t="s">
        <v>1049</v>
      </c>
      <c r="G914" t="s">
        <v>231</v>
      </c>
      <c r="H914" t="s">
        <v>2032</v>
      </c>
    </row>
    <row r="915" spans="1:8" ht="15" customHeight="1" x14ac:dyDescent="0.25">
      <c r="A915" t="s">
        <v>2033</v>
      </c>
      <c r="B915" t="s">
        <v>2034</v>
      </c>
      <c r="C915" s="1">
        <v>46157</v>
      </c>
      <c r="D915" s="5">
        <v>141.79</v>
      </c>
      <c r="E915" t="s">
        <v>558</v>
      </c>
      <c r="F915" t="s">
        <v>1049</v>
      </c>
      <c r="G915" t="s">
        <v>235</v>
      </c>
      <c r="H915" t="s">
        <v>2035</v>
      </c>
    </row>
    <row r="916" spans="1:8" ht="15" customHeight="1" x14ac:dyDescent="0.25">
      <c r="A916" t="s">
        <v>2036</v>
      </c>
      <c r="B916" t="s">
        <v>1791</v>
      </c>
      <c r="C916" s="1">
        <v>46157</v>
      </c>
      <c r="D916" s="5">
        <v>121.8</v>
      </c>
      <c r="E916" t="s">
        <v>558</v>
      </c>
      <c r="F916" t="s">
        <v>1049</v>
      </c>
      <c r="G916" t="s">
        <v>117</v>
      </c>
      <c r="H916" t="s">
        <v>2037</v>
      </c>
    </row>
    <row r="917" spans="1:8" ht="15" customHeight="1" x14ac:dyDescent="0.25">
      <c r="A917" t="s">
        <v>2038</v>
      </c>
      <c r="B917" t="s">
        <v>2039</v>
      </c>
      <c r="C917" s="1">
        <v>46157</v>
      </c>
      <c r="D917" s="5">
        <v>87</v>
      </c>
      <c r="E917" t="s">
        <v>558</v>
      </c>
      <c r="F917" t="s">
        <v>1049</v>
      </c>
      <c r="G917" t="s">
        <v>117</v>
      </c>
      <c r="H917" t="s">
        <v>2040</v>
      </c>
    </row>
    <row r="918" spans="1:8" ht="15" customHeight="1" x14ac:dyDescent="0.25">
      <c r="A918" t="s">
        <v>435</v>
      </c>
      <c r="B918" t="s">
        <v>436</v>
      </c>
      <c r="C918" s="1">
        <v>46157</v>
      </c>
      <c r="D918" s="5">
        <v>3</v>
      </c>
      <c r="E918" t="s">
        <v>558</v>
      </c>
      <c r="F918" t="s">
        <v>1049</v>
      </c>
      <c r="G918" t="s">
        <v>117</v>
      </c>
      <c r="H918" t="s">
        <v>2041</v>
      </c>
    </row>
    <row r="919" spans="1:8" ht="15" customHeight="1" x14ac:dyDescent="0.25">
      <c r="A919" t="s">
        <v>583</v>
      </c>
      <c r="B919" t="s">
        <v>584</v>
      </c>
      <c r="C919" s="1">
        <v>46157</v>
      </c>
      <c r="D919" s="5">
        <v>87</v>
      </c>
      <c r="E919" t="s">
        <v>558</v>
      </c>
      <c r="F919" t="s">
        <v>1049</v>
      </c>
      <c r="G919" t="s">
        <v>117</v>
      </c>
      <c r="H919" t="s">
        <v>2042</v>
      </c>
    </row>
    <row r="920" spans="1:8" ht="15" customHeight="1" x14ac:dyDescent="0.25">
      <c r="A920" t="s">
        <v>162</v>
      </c>
      <c r="B920" t="s">
        <v>163</v>
      </c>
      <c r="C920" s="1">
        <v>46158</v>
      </c>
      <c r="D920" s="5">
        <v>31.2</v>
      </c>
      <c r="E920" t="s">
        <v>558</v>
      </c>
      <c r="F920" t="s">
        <v>1049</v>
      </c>
      <c r="G920" t="s">
        <v>222</v>
      </c>
      <c r="H920" t="s">
        <v>2043</v>
      </c>
    </row>
    <row r="921" spans="1:8" ht="15" customHeight="1" x14ac:dyDescent="0.25">
      <c r="A921" t="s">
        <v>2044</v>
      </c>
      <c r="B921" t="s">
        <v>2045</v>
      </c>
      <c r="C921" s="1">
        <v>46158</v>
      </c>
      <c r="D921" s="5">
        <v>141.79</v>
      </c>
      <c r="E921" t="s">
        <v>558</v>
      </c>
      <c r="F921" t="s">
        <v>1049</v>
      </c>
      <c r="G921" t="s">
        <v>235</v>
      </c>
      <c r="H921" t="s">
        <v>2046</v>
      </c>
    </row>
    <row r="922" spans="1:8" ht="15" customHeight="1" x14ac:dyDescent="0.25">
      <c r="A922" t="s">
        <v>2047</v>
      </c>
      <c r="B922" t="s">
        <v>2048</v>
      </c>
      <c r="C922" s="1">
        <v>46158</v>
      </c>
      <c r="D922" s="5">
        <v>31.2</v>
      </c>
      <c r="E922" t="s">
        <v>558</v>
      </c>
      <c r="F922" t="s">
        <v>1049</v>
      </c>
      <c r="G922" t="s">
        <v>292</v>
      </c>
      <c r="H922" t="s">
        <v>2049</v>
      </c>
    </row>
    <row r="923" spans="1:8" ht="15" customHeight="1" x14ac:dyDescent="0.25">
      <c r="A923" t="s">
        <v>2050</v>
      </c>
      <c r="B923" t="s">
        <v>2051</v>
      </c>
      <c r="C923" s="1">
        <v>46158</v>
      </c>
      <c r="D923" s="5">
        <v>112.05</v>
      </c>
      <c r="E923" t="s">
        <v>558</v>
      </c>
      <c r="F923" t="s">
        <v>1049</v>
      </c>
      <c r="G923" t="s">
        <v>183</v>
      </c>
      <c r="H923" t="s">
        <v>2052</v>
      </c>
    </row>
    <row r="924" spans="1:8" ht="15" customHeight="1" x14ac:dyDescent="0.25">
      <c r="A924" t="s">
        <v>2053</v>
      </c>
      <c r="B924" t="s">
        <v>2054</v>
      </c>
      <c r="C924" s="1">
        <v>46159</v>
      </c>
      <c r="D924" s="5">
        <v>42.8</v>
      </c>
      <c r="E924" t="s">
        <v>558</v>
      </c>
      <c r="F924" t="s">
        <v>1049</v>
      </c>
      <c r="G924" t="s">
        <v>264</v>
      </c>
      <c r="H924" t="s">
        <v>2055</v>
      </c>
    </row>
    <row r="925" spans="1:8" ht="15" customHeight="1" x14ac:dyDescent="0.25">
      <c r="A925" t="s">
        <v>2056</v>
      </c>
      <c r="B925" t="s">
        <v>464</v>
      </c>
      <c r="C925" s="1">
        <v>46159</v>
      </c>
      <c r="D925" s="5">
        <v>23.54</v>
      </c>
      <c r="E925" t="s">
        <v>558</v>
      </c>
      <c r="F925" t="s">
        <v>1049</v>
      </c>
      <c r="G925" t="s">
        <v>264</v>
      </c>
      <c r="H925" t="s">
        <v>2057</v>
      </c>
    </row>
    <row r="926" spans="1:8" ht="15" customHeight="1" x14ac:dyDescent="0.25">
      <c r="A926" t="s">
        <v>1903</v>
      </c>
      <c r="B926" t="s">
        <v>1904</v>
      </c>
      <c r="C926" s="1">
        <v>46160</v>
      </c>
      <c r="D926" s="5">
        <v>26</v>
      </c>
      <c r="E926" t="s">
        <v>558</v>
      </c>
      <c r="F926" t="s">
        <v>1049</v>
      </c>
      <c r="G926" t="s">
        <v>128</v>
      </c>
      <c r="H926" t="s">
        <v>2058</v>
      </c>
    </row>
    <row r="927" spans="1:8" ht="15" customHeight="1" x14ac:dyDescent="0.25">
      <c r="A927" t="s">
        <v>388</v>
      </c>
      <c r="B927" t="s">
        <v>389</v>
      </c>
      <c r="C927" s="1">
        <v>46160</v>
      </c>
      <c r="D927" s="5">
        <v>26</v>
      </c>
      <c r="E927" t="s">
        <v>558</v>
      </c>
      <c r="F927" t="s">
        <v>1049</v>
      </c>
      <c r="G927" t="s">
        <v>128</v>
      </c>
      <c r="H927" t="s">
        <v>2059</v>
      </c>
    </row>
    <row r="928" spans="1:8" ht="15" customHeight="1" x14ac:dyDescent="0.25">
      <c r="A928" t="s">
        <v>94</v>
      </c>
      <c r="B928" t="s">
        <v>95</v>
      </c>
      <c r="C928" s="1">
        <v>46160</v>
      </c>
      <c r="D928" s="5">
        <v>150.6</v>
      </c>
      <c r="E928" t="s">
        <v>558</v>
      </c>
      <c r="F928" t="s">
        <v>1049</v>
      </c>
      <c r="G928" t="s">
        <v>128</v>
      </c>
      <c r="H928" t="s">
        <v>2060</v>
      </c>
    </row>
    <row r="929" spans="1:8" ht="15" customHeight="1" x14ac:dyDescent="0.25">
      <c r="A929" t="s">
        <v>94</v>
      </c>
      <c r="B929" t="s">
        <v>95</v>
      </c>
      <c r="C929" s="1">
        <v>46160</v>
      </c>
      <c r="D929" s="5">
        <v>51.36</v>
      </c>
      <c r="E929" t="s">
        <v>558</v>
      </c>
      <c r="F929" t="s">
        <v>1049</v>
      </c>
      <c r="G929" t="s">
        <v>128</v>
      </c>
      <c r="H929" t="s">
        <v>2061</v>
      </c>
    </row>
    <row r="930" spans="1:8" ht="15" customHeight="1" x14ac:dyDescent="0.25">
      <c r="A930" t="s">
        <v>1269</v>
      </c>
      <c r="B930" t="s">
        <v>1270</v>
      </c>
      <c r="C930" s="1">
        <v>46160</v>
      </c>
      <c r="D930" s="5">
        <v>3</v>
      </c>
      <c r="E930" t="s">
        <v>558</v>
      </c>
      <c r="F930" t="s">
        <v>1049</v>
      </c>
      <c r="G930" t="s">
        <v>117</v>
      </c>
      <c r="H930" t="s">
        <v>2062</v>
      </c>
    </row>
    <row r="931" spans="1:8" ht="15" customHeight="1" x14ac:dyDescent="0.25">
      <c r="A931" t="s">
        <v>137</v>
      </c>
      <c r="B931" t="s">
        <v>138</v>
      </c>
      <c r="C931" s="1">
        <v>46160</v>
      </c>
      <c r="D931" s="5">
        <v>5.52</v>
      </c>
      <c r="E931" t="s">
        <v>558</v>
      </c>
      <c r="F931" t="s">
        <v>1049</v>
      </c>
      <c r="G931" t="s">
        <v>135</v>
      </c>
      <c r="H931" t="s">
        <v>2063</v>
      </c>
    </row>
    <row r="932" spans="1:8" ht="15" customHeight="1" x14ac:dyDescent="0.25">
      <c r="A932" t="s">
        <v>2064</v>
      </c>
      <c r="B932" t="s">
        <v>2065</v>
      </c>
      <c r="C932" s="1">
        <v>46160</v>
      </c>
      <c r="D932" s="5">
        <v>3.86</v>
      </c>
      <c r="E932" t="s">
        <v>558</v>
      </c>
      <c r="F932" t="s">
        <v>1049</v>
      </c>
      <c r="G932" t="s">
        <v>1689</v>
      </c>
      <c r="H932" t="s">
        <v>2066</v>
      </c>
    </row>
    <row r="933" spans="1:8" ht="15" customHeight="1" x14ac:dyDescent="0.25">
      <c r="A933" t="s">
        <v>2067</v>
      </c>
      <c r="B933" t="s">
        <v>2068</v>
      </c>
      <c r="C933" s="1">
        <v>46160</v>
      </c>
      <c r="D933" s="5">
        <v>87</v>
      </c>
      <c r="E933" t="s">
        <v>558</v>
      </c>
      <c r="F933" t="s">
        <v>1049</v>
      </c>
      <c r="G933" t="s">
        <v>117</v>
      </c>
      <c r="H933" t="s">
        <v>2069</v>
      </c>
    </row>
    <row r="934" spans="1:8" ht="15" customHeight="1" x14ac:dyDescent="0.25">
      <c r="A934" t="s">
        <v>1807</v>
      </c>
      <c r="B934" t="s">
        <v>1808</v>
      </c>
      <c r="C934" s="1">
        <v>46160</v>
      </c>
      <c r="D934" s="5">
        <f>1.84*3</f>
        <v>5.5200000000000005</v>
      </c>
      <c r="E934" t="s">
        <v>558</v>
      </c>
      <c r="F934" t="s">
        <v>1049</v>
      </c>
      <c r="G934" t="s">
        <v>128</v>
      </c>
      <c r="H934" t="s">
        <v>2070</v>
      </c>
    </row>
    <row r="935" spans="1:8" ht="15" customHeight="1" x14ac:dyDescent="0.25">
      <c r="A935" t="s">
        <v>1677</v>
      </c>
      <c r="B935" t="s">
        <v>1678</v>
      </c>
      <c r="C935" s="1">
        <v>46160</v>
      </c>
      <c r="D935" s="5">
        <f>1.84*2</f>
        <v>3.68</v>
      </c>
      <c r="E935" t="s">
        <v>558</v>
      </c>
      <c r="F935" t="s">
        <v>1049</v>
      </c>
      <c r="G935" t="s">
        <v>468</v>
      </c>
      <c r="H935" t="s">
        <v>2071</v>
      </c>
    </row>
    <row r="936" spans="1:8" ht="15" customHeight="1" x14ac:dyDescent="0.25">
      <c r="A936" t="s">
        <v>1093</v>
      </c>
      <c r="B936" t="s">
        <v>1094</v>
      </c>
      <c r="C936" s="1">
        <v>46160</v>
      </c>
      <c r="D936" s="5">
        <v>18.36</v>
      </c>
      <c r="E936" t="s">
        <v>558</v>
      </c>
      <c r="F936" t="s">
        <v>1049</v>
      </c>
      <c r="G936" t="s">
        <v>128</v>
      </c>
      <c r="H936" t="s">
        <v>2072</v>
      </c>
    </row>
    <row r="937" spans="1:8" ht="15" customHeight="1" x14ac:dyDescent="0.25">
      <c r="A937" t="s">
        <v>2073</v>
      </c>
      <c r="B937" t="s">
        <v>2074</v>
      </c>
      <c r="C937" s="1">
        <v>46160</v>
      </c>
      <c r="D937" s="5">
        <v>38.520000000000003</v>
      </c>
      <c r="E937" t="s">
        <v>558</v>
      </c>
      <c r="F937" t="s">
        <v>1049</v>
      </c>
      <c r="G937" t="s">
        <v>128</v>
      </c>
      <c r="H937" t="s">
        <v>2075</v>
      </c>
    </row>
    <row r="938" spans="1:8" ht="15" customHeight="1" x14ac:dyDescent="0.25">
      <c r="A938" t="s">
        <v>2076</v>
      </c>
      <c r="B938" t="s">
        <v>2077</v>
      </c>
      <c r="C938" s="1">
        <v>46160</v>
      </c>
      <c r="D938" s="5">
        <v>146.66999999999999</v>
      </c>
      <c r="E938" t="s">
        <v>558</v>
      </c>
      <c r="F938" t="s">
        <v>1049</v>
      </c>
      <c r="G938" t="s">
        <v>128</v>
      </c>
      <c r="H938" t="s">
        <v>2078</v>
      </c>
    </row>
    <row r="939" spans="1:8" ht="15" customHeight="1" x14ac:dyDescent="0.25">
      <c r="A939" t="s">
        <v>2079</v>
      </c>
      <c r="B939" t="s">
        <v>2080</v>
      </c>
      <c r="C939" s="1">
        <v>46160</v>
      </c>
      <c r="D939" s="5">
        <f>12.84*3</f>
        <v>38.519999999999996</v>
      </c>
      <c r="E939" t="s">
        <v>558</v>
      </c>
      <c r="F939" t="s">
        <v>1049</v>
      </c>
      <c r="G939" t="s">
        <v>128</v>
      </c>
      <c r="H939" t="s">
        <v>2081</v>
      </c>
    </row>
    <row r="940" spans="1:8" ht="15" customHeight="1" x14ac:dyDescent="0.25">
      <c r="A940" t="s">
        <v>1709</v>
      </c>
      <c r="B940" t="s">
        <v>1710</v>
      </c>
      <c r="C940" s="1">
        <v>46160</v>
      </c>
      <c r="D940" s="5">
        <v>3</v>
      </c>
      <c r="E940" t="s">
        <v>558</v>
      </c>
      <c r="F940" t="s">
        <v>1049</v>
      </c>
      <c r="G940" t="s">
        <v>314</v>
      </c>
      <c r="H940" t="s">
        <v>2082</v>
      </c>
    </row>
    <row r="941" spans="1:8" ht="15" customHeight="1" x14ac:dyDescent="0.25">
      <c r="A941" t="s">
        <v>891</v>
      </c>
      <c r="B941" t="s">
        <v>892</v>
      </c>
      <c r="C941" s="1">
        <v>46160</v>
      </c>
      <c r="D941" s="5">
        <f>1.84*3</f>
        <v>5.5200000000000005</v>
      </c>
      <c r="E941" t="s">
        <v>558</v>
      </c>
      <c r="F941" t="s">
        <v>1049</v>
      </c>
      <c r="G941" t="s">
        <v>128</v>
      </c>
      <c r="H941" t="s">
        <v>2083</v>
      </c>
    </row>
    <row r="942" spans="1:8" ht="15" customHeight="1" x14ac:dyDescent="0.25">
      <c r="A942" t="s">
        <v>1057</v>
      </c>
      <c r="B942" t="s">
        <v>1058</v>
      </c>
      <c r="C942" s="1">
        <v>46160</v>
      </c>
      <c r="D942" s="5">
        <v>5.52</v>
      </c>
      <c r="E942" t="s">
        <v>558</v>
      </c>
      <c r="F942" t="s">
        <v>1049</v>
      </c>
      <c r="G942" t="s">
        <v>128</v>
      </c>
      <c r="H942" t="s">
        <v>2084</v>
      </c>
    </row>
    <row r="943" spans="1:8" ht="15" customHeight="1" x14ac:dyDescent="0.25">
      <c r="A943" t="s">
        <v>2085</v>
      </c>
      <c r="B943" t="s">
        <v>2086</v>
      </c>
      <c r="C943" s="1">
        <v>46160</v>
      </c>
      <c r="D943" s="5">
        <v>38.520000000000003</v>
      </c>
      <c r="E943" t="s">
        <v>558</v>
      </c>
      <c r="F943" t="s">
        <v>1049</v>
      </c>
      <c r="G943" t="s">
        <v>128</v>
      </c>
      <c r="H943" t="s">
        <v>2087</v>
      </c>
    </row>
    <row r="944" spans="1:8" ht="15" customHeight="1" x14ac:dyDescent="0.25">
      <c r="A944" t="s">
        <v>1028</v>
      </c>
      <c r="B944" t="s">
        <v>1029</v>
      </c>
      <c r="C944" s="1">
        <v>46160</v>
      </c>
      <c r="D944" s="5">
        <v>5.52</v>
      </c>
      <c r="E944" t="s">
        <v>558</v>
      </c>
      <c r="F944" t="s">
        <v>1049</v>
      </c>
      <c r="G944" t="s">
        <v>135</v>
      </c>
      <c r="H944" t="s">
        <v>2088</v>
      </c>
    </row>
    <row r="945" spans="1:8" ht="15" customHeight="1" x14ac:dyDescent="0.25">
      <c r="A945" t="s">
        <v>2089</v>
      </c>
      <c r="B945" t="s">
        <v>2090</v>
      </c>
      <c r="C945" s="1">
        <v>46160</v>
      </c>
      <c r="D945" s="5">
        <v>38.520000000000003</v>
      </c>
      <c r="E945" t="s">
        <v>558</v>
      </c>
      <c r="F945" t="s">
        <v>1049</v>
      </c>
      <c r="G945" t="s">
        <v>309</v>
      </c>
      <c r="H945" t="s">
        <v>2091</v>
      </c>
    </row>
    <row r="946" spans="1:8" ht="15" customHeight="1" x14ac:dyDescent="0.25">
      <c r="A946" t="s">
        <v>171</v>
      </c>
      <c r="B946" t="s">
        <v>172</v>
      </c>
      <c r="C946" s="1">
        <v>46160</v>
      </c>
      <c r="D946" s="5">
        <v>3.86</v>
      </c>
      <c r="E946" t="s">
        <v>558</v>
      </c>
      <c r="F946" t="s">
        <v>1049</v>
      </c>
      <c r="G946" t="s">
        <v>148</v>
      </c>
      <c r="H946" t="s">
        <v>2092</v>
      </c>
    </row>
    <row r="947" spans="1:8" ht="15" customHeight="1" x14ac:dyDescent="0.25">
      <c r="A947" t="s">
        <v>1428</v>
      </c>
      <c r="B947" t="s">
        <v>940</v>
      </c>
      <c r="C947" s="1">
        <v>46160</v>
      </c>
      <c r="D947" s="5">
        <f>1.84*3</f>
        <v>5.5200000000000005</v>
      </c>
      <c r="E947" t="s">
        <v>558</v>
      </c>
      <c r="F947" t="s">
        <v>1049</v>
      </c>
      <c r="G947" t="s">
        <v>292</v>
      </c>
      <c r="H947" t="s">
        <v>2093</v>
      </c>
    </row>
    <row r="948" spans="1:8" ht="15" customHeight="1" x14ac:dyDescent="0.25">
      <c r="A948" t="s">
        <v>2094</v>
      </c>
      <c r="B948" t="s">
        <v>2095</v>
      </c>
      <c r="C948" s="1">
        <v>46160</v>
      </c>
      <c r="D948" s="5">
        <f>12.84*2</f>
        <v>25.68</v>
      </c>
      <c r="E948" t="s">
        <v>558</v>
      </c>
      <c r="F948" t="s">
        <v>1049</v>
      </c>
      <c r="G948" t="s">
        <v>239</v>
      </c>
      <c r="H948" t="s">
        <v>2096</v>
      </c>
    </row>
    <row r="949" spans="1:8" ht="15" customHeight="1" x14ac:dyDescent="0.25">
      <c r="A949" t="s">
        <v>2097</v>
      </c>
      <c r="B949" t="s">
        <v>2098</v>
      </c>
      <c r="C949" s="1">
        <v>46160</v>
      </c>
      <c r="D949" s="5">
        <v>146.66999999999999</v>
      </c>
      <c r="E949" t="s">
        <v>558</v>
      </c>
      <c r="F949" t="s">
        <v>1049</v>
      </c>
      <c r="G949" t="s">
        <v>128</v>
      </c>
      <c r="H949" t="s">
        <v>2099</v>
      </c>
    </row>
    <row r="950" spans="1:8" ht="15" customHeight="1" x14ac:dyDescent="0.25">
      <c r="A950" t="s">
        <v>2100</v>
      </c>
      <c r="B950" t="s">
        <v>2101</v>
      </c>
      <c r="C950" s="1">
        <v>46160</v>
      </c>
      <c r="D950" s="5">
        <v>146.66999999999999</v>
      </c>
      <c r="E950" t="s">
        <v>558</v>
      </c>
      <c r="F950" t="s">
        <v>1049</v>
      </c>
      <c r="G950" t="s">
        <v>128</v>
      </c>
      <c r="H950" t="s">
        <v>2102</v>
      </c>
    </row>
    <row r="951" spans="1:8" ht="15" customHeight="1" x14ac:dyDescent="0.25">
      <c r="A951" t="s">
        <v>2103</v>
      </c>
      <c r="B951" t="s">
        <v>2104</v>
      </c>
      <c r="C951" s="1">
        <v>46160</v>
      </c>
      <c r="D951" s="5">
        <v>152.53</v>
      </c>
      <c r="E951" t="s">
        <v>558</v>
      </c>
      <c r="F951" t="s">
        <v>1049</v>
      </c>
      <c r="G951" t="s">
        <v>135</v>
      </c>
      <c r="H951" t="s">
        <v>2105</v>
      </c>
    </row>
    <row r="952" spans="1:8" ht="15" customHeight="1" x14ac:dyDescent="0.25">
      <c r="A952" t="s">
        <v>1576</v>
      </c>
      <c r="B952" t="s">
        <v>1577</v>
      </c>
      <c r="C952" s="1">
        <v>46161</v>
      </c>
      <c r="D952" s="5">
        <v>3.68</v>
      </c>
      <c r="E952" t="s">
        <v>558</v>
      </c>
      <c r="F952" t="s">
        <v>1049</v>
      </c>
      <c r="G952" t="s">
        <v>264</v>
      </c>
      <c r="H952" t="s">
        <v>2106</v>
      </c>
    </row>
    <row r="953" spans="1:8" ht="15" customHeight="1" x14ac:dyDescent="0.25">
      <c r="A953" t="s">
        <v>516</v>
      </c>
      <c r="B953" t="s">
        <v>517</v>
      </c>
      <c r="C953" s="1">
        <v>46161</v>
      </c>
      <c r="D953" s="5">
        <v>3.68</v>
      </c>
      <c r="E953" t="s">
        <v>558</v>
      </c>
      <c r="F953" t="s">
        <v>1049</v>
      </c>
      <c r="G953" t="s">
        <v>264</v>
      </c>
      <c r="H953" t="s">
        <v>2107</v>
      </c>
    </row>
    <row r="954" spans="1:8" ht="15" customHeight="1" x14ac:dyDescent="0.25">
      <c r="A954" t="s">
        <v>2108</v>
      </c>
      <c r="B954" t="s">
        <v>2109</v>
      </c>
      <c r="C954" s="1">
        <v>46161</v>
      </c>
      <c r="D954" s="5">
        <v>26</v>
      </c>
      <c r="E954" t="s">
        <v>558</v>
      </c>
      <c r="F954" t="s">
        <v>1049</v>
      </c>
      <c r="G954" t="s">
        <v>128</v>
      </c>
      <c r="H954" t="s">
        <v>2110</v>
      </c>
    </row>
    <row r="955" spans="1:8" ht="15" customHeight="1" x14ac:dyDescent="0.25">
      <c r="A955" t="s">
        <v>623</v>
      </c>
      <c r="B955" t="s">
        <v>624</v>
      </c>
      <c r="C955" s="1">
        <v>46161</v>
      </c>
      <c r="D955" s="5">
        <v>3</v>
      </c>
      <c r="E955" t="s">
        <v>558</v>
      </c>
      <c r="F955" t="s">
        <v>1049</v>
      </c>
      <c r="G955" t="s">
        <v>1689</v>
      </c>
      <c r="H955" t="s">
        <v>2111</v>
      </c>
    </row>
    <row r="956" spans="1:8" ht="15" customHeight="1" x14ac:dyDescent="0.25">
      <c r="A956" t="s">
        <v>2112</v>
      </c>
      <c r="B956" t="s">
        <v>62</v>
      </c>
      <c r="C956" s="1">
        <v>46161</v>
      </c>
      <c r="D956" s="5">
        <v>87</v>
      </c>
      <c r="E956" t="s">
        <v>558</v>
      </c>
      <c r="F956" t="s">
        <v>1049</v>
      </c>
      <c r="G956" t="s">
        <v>117</v>
      </c>
      <c r="H956" t="s">
        <v>2113</v>
      </c>
    </row>
    <row r="957" spans="1:8" ht="15" customHeight="1" x14ac:dyDescent="0.25">
      <c r="A957" t="s">
        <v>1812</v>
      </c>
      <c r="B957" t="s">
        <v>1813</v>
      </c>
      <c r="C957" s="1">
        <v>46161</v>
      </c>
      <c r="D957" s="5">
        <v>87</v>
      </c>
      <c r="E957" t="s">
        <v>558</v>
      </c>
      <c r="F957" t="s">
        <v>1049</v>
      </c>
      <c r="G957" t="s">
        <v>117</v>
      </c>
      <c r="H957" t="s">
        <v>2114</v>
      </c>
    </row>
    <row r="958" spans="1:8" ht="15" customHeight="1" x14ac:dyDescent="0.25">
      <c r="A958" t="s">
        <v>2115</v>
      </c>
      <c r="B958" t="s">
        <v>2116</v>
      </c>
      <c r="C958" s="1">
        <v>46161</v>
      </c>
      <c r="D958" s="5">
        <v>38.520000000000003</v>
      </c>
      <c r="E958" t="s">
        <v>558</v>
      </c>
      <c r="F958" t="s">
        <v>1049</v>
      </c>
      <c r="G958" t="s">
        <v>128</v>
      </c>
      <c r="H958" t="s">
        <v>2117</v>
      </c>
    </row>
    <row r="959" spans="1:8" ht="15" customHeight="1" x14ac:dyDescent="0.25">
      <c r="A959" t="s">
        <v>1700</v>
      </c>
      <c r="B959" t="s">
        <v>1701</v>
      </c>
      <c r="C959" s="1">
        <v>46161</v>
      </c>
      <c r="D959" s="5">
        <v>3.68</v>
      </c>
      <c r="E959" t="s">
        <v>558</v>
      </c>
      <c r="F959" t="s">
        <v>1049</v>
      </c>
      <c r="G959" t="s">
        <v>264</v>
      </c>
      <c r="H959" t="s">
        <v>2118</v>
      </c>
    </row>
    <row r="960" spans="1:8" ht="15" customHeight="1" x14ac:dyDescent="0.25">
      <c r="A960" t="s">
        <v>2056</v>
      </c>
      <c r="B960" t="s">
        <v>464</v>
      </c>
      <c r="C960" s="1">
        <v>46161</v>
      </c>
      <c r="D960" s="5">
        <v>3.68</v>
      </c>
      <c r="E960" t="s">
        <v>558</v>
      </c>
      <c r="F960" t="s">
        <v>1049</v>
      </c>
      <c r="G960" t="s">
        <v>264</v>
      </c>
      <c r="H960" t="s">
        <v>2119</v>
      </c>
    </row>
    <row r="961" spans="1:8" ht="15" customHeight="1" x14ac:dyDescent="0.25">
      <c r="A961" t="s">
        <v>107</v>
      </c>
      <c r="B961" t="s">
        <v>108</v>
      </c>
      <c r="C961" s="1">
        <v>46161</v>
      </c>
      <c r="D961" s="5">
        <v>69.599999999999994</v>
      </c>
      <c r="E961" t="s">
        <v>558</v>
      </c>
      <c r="F961" t="s">
        <v>1049</v>
      </c>
      <c r="G961" t="s">
        <v>2120</v>
      </c>
      <c r="H961" t="s">
        <v>2121</v>
      </c>
    </row>
    <row r="962" spans="1:8" ht="15" customHeight="1" x14ac:dyDescent="0.25">
      <c r="A962" t="s">
        <v>704</v>
      </c>
      <c r="B962" t="s">
        <v>705</v>
      </c>
      <c r="C962" s="1">
        <v>46161</v>
      </c>
      <c r="D962" s="5">
        <v>26</v>
      </c>
      <c r="E962" t="s">
        <v>558</v>
      </c>
      <c r="F962" t="s">
        <v>1049</v>
      </c>
      <c r="G962" t="s">
        <v>128</v>
      </c>
      <c r="H962" t="s">
        <v>2122</v>
      </c>
    </row>
    <row r="963" spans="1:8" ht="15" customHeight="1" x14ac:dyDescent="0.25">
      <c r="A963" t="s">
        <v>2123</v>
      </c>
      <c r="B963" t="s">
        <v>2124</v>
      </c>
      <c r="C963" s="1">
        <v>46161</v>
      </c>
      <c r="D963" s="5">
        <v>5.52</v>
      </c>
      <c r="E963" t="s">
        <v>558</v>
      </c>
      <c r="F963" t="s">
        <v>1049</v>
      </c>
      <c r="G963" t="s">
        <v>260</v>
      </c>
      <c r="H963" t="s">
        <v>2125</v>
      </c>
    </row>
    <row r="964" spans="1:8" ht="15" customHeight="1" x14ac:dyDescent="0.25">
      <c r="A964" t="s">
        <v>428</v>
      </c>
      <c r="B964" t="s">
        <v>429</v>
      </c>
      <c r="C964" s="1">
        <v>46161</v>
      </c>
      <c r="D964" s="5">
        <v>3.86</v>
      </c>
      <c r="E964" t="s">
        <v>558</v>
      </c>
      <c r="F964" t="s">
        <v>1049</v>
      </c>
      <c r="G964" t="s">
        <v>1689</v>
      </c>
      <c r="H964" t="s">
        <v>2126</v>
      </c>
    </row>
    <row r="965" spans="1:8" ht="15" customHeight="1" x14ac:dyDescent="0.25">
      <c r="A965" t="s">
        <v>104</v>
      </c>
      <c r="B965" t="s">
        <v>105</v>
      </c>
      <c r="C965" s="1">
        <v>46161</v>
      </c>
      <c r="D965" s="5">
        <v>3.86</v>
      </c>
      <c r="E965" t="s">
        <v>558</v>
      </c>
      <c r="F965" t="s">
        <v>1049</v>
      </c>
      <c r="G965" t="s">
        <v>1689</v>
      </c>
      <c r="H965" t="s">
        <v>2127</v>
      </c>
    </row>
    <row r="966" spans="1:8" ht="15" customHeight="1" x14ac:dyDescent="0.25">
      <c r="A966" t="s">
        <v>1683</v>
      </c>
      <c r="B966" t="s">
        <v>1684</v>
      </c>
      <c r="C966" s="1">
        <v>46161</v>
      </c>
      <c r="D966" s="5">
        <v>150.6</v>
      </c>
      <c r="E966" t="s">
        <v>558</v>
      </c>
      <c r="F966" t="s">
        <v>1049</v>
      </c>
      <c r="G966" t="s">
        <v>128</v>
      </c>
      <c r="H966" t="s">
        <v>2128</v>
      </c>
    </row>
    <row r="967" spans="1:8" ht="15" customHeight="1" x14ac:dyDescent="0.25">
      <c r="A967" t="s">
        <v>385</v>
      </c>
      <c r="B967" t="s">
        <v>386</v>
      </c>
      <c r="C967" s="1">
        <v>46161</v>
      </c>
      <c r="D967" s="5">
        <v>150.6</v>
      </c>
      <c r="E967" t="s">
        <v>558</v>
      </c>
      <c r="F967" t="s">
        <v>1049</v>
      </c>
      <c r="G967" t="s">
        <v>128</v>
      </c>
      <c r="H967" t="s">
        <v>2129</v>
      </c>
    </row>
    <row r="968" spans="1:8" ht="15" customHeight="1" x14ac:dyDescent="0.25">
      <c r="A968" t="s">
        <v>562</v>
      </c>
      <c r="B968" t="s">
        <v>563</v>
      </c>
      <c r="C968" s="1">
        <v>46161</v>
      </c>
      <c r="D968" s="5">
        <v>26</v>
      </c>
      <c r="E968" t="s">
        <v>558</v>
      </c>
      <c r="F968" t="s">
        <v>1049</v>
      </c>
      <c r="G968" t="s">
        <v>128</v>
      </c>
      <c r="H968" t="s">
        <v>2130</v>
      </c>
    </row>
    <row r="969" spans="1:8" ht="15" customHeight="1" x14ac:dyDescent="0.25">
      <c r="A969" t="s">
        <v>1709</v>
      </c>
      <c r="B969" t="s">
        <v>1710</v>
      </c>
      <c r="C969" s="1">
        <v>46161</v>
      </c>
      <c r="D969" s="5">
        <v>3</v>
      </c>
      <c r="E969" t="s">
        <v>558</v>
      </c>
      <c r="F969" t="s">
        <v>1049</v>
      </c>
      <c r="G969" t="s">
        <v>314</v>
      </c>
      <c r="H969" t="s">
        <v>2131</v>
      </c>
    </row>
    <row r="970" spans="1:8" ht="15" customHeight="1" x14ac:dyDescent="0.25">
      <c r="A970" t="s">
        <v>146</v>
      </c>
      <c r="B970" t="s">
        <v>147</v>
      </c>
      <c r="C970" s="1">
        <v>46161</v>
      </c>
      <c r="D970" s="5">
        <v>3.86</v>
      </c>
      <c r="E970" t="s">
        <v>558</v>
      </c>
      <c r="F970" t="s">
        <v>1049</v>
      </c>
      <c r="G970" t="s">
        <v>148</v>
      </c>
      <c r="H970" t="s">
        <v>2132</v>
      </c>
    </row>
    <row r="971" spans="1:8" ht="15" customHeight="1" x14ac:dyDescent="0.25">
      <c r="A971" t="s">
        <v>2133</v>
      </c>
      <c r="B971" t="s">
        <v>2020</v>
      </c>
      <c r="C971" s="1">
        <v>46161</v>
      </c>
      <c r="D971" s="5">
        <v>3.86</v>
      </c>
      <c r="E971" t="s">
        <v>558</v>
      </c>
      <c r="F971" t="s">
        <v>1049</v>
      </c>
      <c r="G971" s="8" t="s">
        <v>183</v>
      </c>
      <c r="H971" t="s">
        <v>2134</v>
      </c>
    </row>
    <row r="972" spans="1:8" ht="15" customHeight="1" x14ac:dyDescent="0.25">
      <c r="A972" t="s">
        <v>2135</v>
      </c>
      <c r="B972" t="s">
        <v>2136</v>
      </c>
      <c r="C972" s="1">
        <v>46161</v>
      </c>
      <c r="D972" s="5">
        <v>122.83</v>
      </c>
      <c r="E972" t="s">
        <v>558</v>
      </c>
      <c r="F972" t="s">
        <v>1049</v>
      </c>
      <c r="G972" t="s">
        <v>264</v>
      </c>
      <c r="H972" t="s">
        <v>2137</v>
      </c>
    </row>
    <row r="973" spans="1:8" ht="15" customHeight="1" x14ac:dyDescent="0.25">
      <c r="A973" t="s">
        <v>1441</v>
      </c>
      <c r="B973" t="s">
        <v>1442</v>
      </c>
      <c r="C973" s="1">
        <v>46161</v>
      </c>
      <c r="D973" s="5">
        <v>5.52</v>
      </c>
      <c r="E973" t="s">
        <v>558</v>
      </c>
      <c r="F973" t="s">
        <v>1049</v>
      </c>
      <c r="G973" t="s">
        <v>260</v>
      </c>
      <c r="H973" t="s">
        <v>2138</v>
      </c>
    </row>
    <row r="974" spans="1:8" ht="15" customHeight="1" x14ac:dyDescent="0.25">
      <c r="A974" t="s">
        <v>2139</v>
      </c>
      <c r="B974" t="s">
        <v>2140</v>
      </c>
      <c r="C974" s="1">
        <v>46161</v>
      </c>
      <c r="D974" s="5">
        <v>136.76</v>
      </c>
      <c r="E974" t="s">
        <v>558</v>
      </c>
      <c r="F974" t="s">
        <v>1049</v>
      </c>
      <c r="G974" t="s">
        <v>468</v>
      </c>
      <c r="H974" t="s">
        <v>2141</v>
      </c>
    </row>
    <row r="975" spans="1:8" ht="15" customHeight="1" x14ac:dyDescent="0.25">
      <c r="A975" t="s">
        <v>1712</v>
      </c>
      <c r="B975" t="s">
        <v>1713</v>
      </c>
      <c r="C975" s="1">
        <v>46161</v>
      </c>
      <c r="D975" s="5">
        <v>5.52</v>
      </c>
      <c r="E975" t="s">
        <v>558</v>
      </c>
      <c r="F975" t="s">
        <v>1049</v>
      </c>
      <c r="G975" t="s">
        <v>260</v>
      </c>
      <c r="H975" t="s">
        <v>2142</v>
      </c>
    </row>
    <row r="976" spans="1:8" ht="15" customHeight="1" x14ac:dyDescent="0.25">
      <c r="A976" t="s">
        <v>2143</v>
      </c>
      <c r="B976" t="s">
        <v>2144</v>
      </c>
      <c r="C976" s="1">
        <v>46161</v>
      </c>
      <c r="D976" s="5">
        <v>124.67</v>
      </c>
      <c r="E976" t="s">
        <v>558</v>
      </c>
      <c r="F976" t="s">
        <v>1049</v>
      </c>
      <c r="G976" t="s">
        <v>264</v>
      </c>
      <c r="H976" t="s">
        <v>2145</v>
      </c>
    </row>
    <row r="977" spans="1:8" ht="15" customHeight="1" x14ac:dyDescent="0.25">
      <c r="A977" t="s">
        <v>1052</v>
      </c>
      <c r="B977" t="s">
        <v>989</v>
      </c>
      <c r="C977" s="1">
        <v>46161</v>
      </c>
      <c r="D977" s="5">
        <v>5.52</v>
      </c>
      <c r="E977" t="s">
        <v>558</v>
      </c>
      <c r="F977" t="s">
        <v>1049</v>
      </c>
      <c r="G977" t="s">
        <v>231</v>
      </c>
      <c r="H977" t="s">
        <v>2146</v>
      </c>
    </row>
    <row r="978" spans="1:8" ht="15" customHeight="1" x14ac:dyDescent="0.25">
      <c r="A978" t="s">
        <v>2147</v>
      </c>
      <c r="C978" s="1">
        <v>46161</v>
      </c>
      <c r="D978" s="5">
        <v>142.44999999999999</v>
      </c>
      <c r="E978" t="s">
        <v>558</v>
      </c>
      <c r="F978" t="s">
        <v>1049</v>
      </c>
      <c r="G978" t="s">
        <v>264</v>
      </c>
      <c r="H978" t="s">
        <v>2148</v>
      </c>
    </row>
    <row r="979" spans="1:8" ht="15" customHeight="1" x14ac:dyDescent="0.25">
      <c r="A979" t="s">
        <v>2079</v>
      </c>
      <c r="B979" t="s">
        <v>2080</v>
      </c>
      <c r="C979" s="1">
        <v>46162</v>
      </c>
      <c r="D979" s="5">
        <v>5.52</v>
      </c>
      <c r="E979" t="s">
        <v>558</v>
      </c>
      <c r="F979" t="s">
        <v>1049</v>
      </c>
      <c r="G979" t="s">
        <v>128</v>
      </c>
      <c r="H979" t="s">
        <v>2149</v>
      </c>
    </row>
    <row r="980" spans="1:8" ht="15" customHeight="1" x14ac:dyDescent="0.25">
      <c r="A980" t="s">
        <v>415</v>
      </c>
      <c r="B980" t="s">
        <v>416</v>
      </c>
      <c r="C980" s="1">
        <v>46162</v>
      </c>
      <c r="D980" s="5">
        <v>3.68</v>
      </c>
      <c r="E980" t="s">
        <v>558</v>
      </c>
      <c r="F980" t="s">
        <v>1049</v>
      </c>
      <c r="G980" t="s">
        <v>2150</v>
      </c>
      <c r="H980" t="s">
        <v>2151</v>
      </c>
    </row>
    <row r="981" spans="1:8" ht="15" customHeight="1" x14ac:dyDescent="0.25">
      <c r="A981" t="s">
        <v>2152</v>
      </c>
      <c r="B981" t="s">
        <v>488</v>
      </c>
      <c r="C981" s="1">
        <v>46162</v>
      </c>
      <c r="D981" s="5">
        <v>26</v>
      </c>
      <c r="E981" t="s">
        <v>558</v>
      </c>
      <c r="F981" t="s">
        <v>1049</v>
      </c>
      <c r="G981" t="s">
        <v>128</v>
      </c>
      <c r="H981" t="s">
        <v>2153</v>
      </c>
    </row>
    <row r="982" spans="1:8" ht="15" customHeight="1" x14ac:dyDescent="0.25">
      <c r="A982" t="s">
        <v>2154</v>
      </c>
      <c r="B982" t="s">
        <v>2155</v>
      </c>
      <c r="C982" s="1">
        <v>46162</v>
      </c>
      <c r="D982" s="5">
        <v>26</v>
      </c>
      <c r="E982" t="s">
        <v>558</v>
      </c>
      <c r="F982" t="s">
        <v>1049</v>
      </c>
      <c r="G982" t="s">
        <v>128</v>
      </c>
      <c r="H982" t="s">
        <v>2156</v>
      </c>
    </row>
    <row r="983" spans="1:8" ht="15" customHeight="1" x14ac:dyDescent="0.25">
      <c r="A983" t="s">
        <v>403</v>
      </c>
      <c r="B983" t="s">
        <v>861</v>
      </c>
      <c r="C983" s="1">
        <v>46162</v>
      </c>
      <c r="D983" s="5">
        <v>3</v>
      </c>
      <c r="E983" t="s">
        <v>558</v>
      </c>
      <c r="F983" t="s">
        <v>1049</v>
      </c>
      <c r="G983" t="s">
        <v>117</v>
      </c>
      <c r="H983" t="s">
        <v>2157</v>
      </c>
    </row>
    <row r="984" spans="1:8" ht="15" customHeight="1" x14ac:dyDescent="0.25">
      <c r="A984" t="s">
        <v>1909</v>
      </c>
      <c r="B984" t="s">
        <v>1910</v>
      </c>
      <c r="C984" s="1">
        <v>46162</v>
      </c>
      <c r="D984" s="5">
        <v>3.68</v>
      </c>
      <c r="E984" t="s">
        <v>558</v>
      </c>
      <c r="F984" t="s">
        <v>1049</v>
      </c>
      <c r="G984" t="s">
        <v>292</v>
      </c>
      <c r="H984" t="s">
        <v>2158</v>
      </c>
    </row>
    <row r="985" spans="1:8" ht="15" customHeight="1" x14ac:dyDescent="0.25">
      <c r="A985" t="s">
        <v>2013</v>
      </c>
      <c r="B985" t="s">
        <v>2014</v>
      </c>
      <c r="C985" s="1">
        <v>46162</v>
      </c>
      <c r="D985" s="5">
        <v>3.68</v>
      </c>
      <c r="E985" t="s">
        <v>558</v>
      </c>
      <c r="F985" t="s">
        <v>1049</v>
      </c>
      <c r="G985" t="s">
        <v>264</v>
      </c>
      <c r="H985" t="s">
        <v>2159</v>
      </c>
    </row>
    <row r="986" spans="1:8" ht="15" customHeight="1" x14ac:dyDescent="0.25">
      <c r="A986" t="s">
        <v>894</v>
      </c>
      <c r="B986" t="s">
        <v>895</v>
      </c>
      <c r="C986" s="1">
        <v>46162</v>
      </c>
      <c r="D986" s="5">
        <v>26</v>
      </c>
      <c r="E986" t="s">
        <v>558</v>
      </c>
      <c r="F986" t="s">
        <v>1049</v>
      </c>
      <c r="G986" t="s">
        <v>128</v>
      </c>
      <c r="H986" t="s">
        <v>2160</v>
      </c>
    </row>
    <row r="987" spans="1:8" ht="15" customHeight="1" x14ac:dyDescent="0.25">
      <c r="A987" t="s">
        <v>1892</v>
      </c>
      <c r="B987" t="s">
        <v>1893</v>
      </c>
      <c r="C987" s="1">
        <v>46162</v>
      </c>
      <c r="D987" s="5">
        <v>3.86</v>
      </c>
      <c r="E987" t="s">
        <v>558</v>
      </c>
      <c r="F987" t="s">
        <v>1049</v>
      </c>
      <c r="G987" t="s">
        <v>148</v>
      </c>
      <c r="H987" t="s">
        <v>2161</v>
      </c>
    </row>
    <row r="988" spans="1:8" ht="15" customHeight="1" x14ac:dyDescent="0.25">
      <c r="A988" t="s">
        <v>2162</v>
      </c>
      <c r="B988" t="s">
        <v>2163</v>
      </c>
      <c r="C988" s="1">
        <v>46162</v>
      </c>
      <c r="D988" s="5">
        <v>20.8</v>
      </c>
      <c r="E988" t="s">
        <v>558</v>
      </c>
      <c r="F988" t="s">
        <v>1049</v>
      </c>
      <c r="G988" t="s">
        <v>292</v>
      </c>
      <c r="H988" t="s">
        <v>2164</v>
      </c>
    </row>
    <row r="989" spans="1:8" ht="15" customHeight="1" x14ac:dyDescent="0.25">
      <c r="A989" t="s">
        <v>181</v>
      </c>
      <c r="B989" t="s">
        <v>182</v>
      </c>
      <c r="C989" s="1">
        <v>46162</v>
      </c>
      <c r="D989" s="5">
        <v>3.86</v>
      </c>
      <c r="E989" t="s">
        <v>558</v>
      </c>
      <c r="F989" t="s">
        <v>1049</v>
      </c>
      <c r="G989" t="s">
        <v>148</v>
      </c>
      <c r="H989" t="s">
        <v>2165</v>
      </c>
    </row>
    <row r="990" spans="1:8" ht="15" customHeight="1" x14ac:dyDescent="0.25">
      <c r="A990" t="s">
        <v>792</v>
      </c>
      <c r="B990" t="s">
        <v>793</v>
      </c>
      <c r="C990" s="1">
        <v>46162</v>
      </c>
      <c r="D990" s="5">
        <v>3.68</v>
      </c>
      <c r="E990" t="s">
        <v>558</v>
      </c>
      <c r="F990" t="s">
        <v>1049</v>
      </c>
      <c r="G990" t="s">
        <v>1502</v>
      </c>
      <c r="H990" t="s">
        <v>2166</v>
      </c>
    </row>
    <row r="991" spans="1:8" ht="15" customHeight="1" x14ac:dyDescent="0.25">
      <c r="A991" t="s">
        <v>781</v>
      </c>
      <c r="B991" t="s">
        <v>782</v>
      </c>
      <c r="C991" s="1">
        <v>46162</v>
      </c>
      <c r="D991" s="5">
        <v>26</v>
      </c>
      <c r="E991" t="s">
        <v>558</v>
      </c>
      <c r="F991" t="s">
        <v>1049</v>
      </c>
      <c r="G991" t="s">
        <v>128</v>
      </c>
      <c r="H991" t="s">
        <v>2167</v>
      </c>
    </row>
    <row r="992" spans="1:8" ht="15" customHeight="1" x14ac:dyDescent="0.25">
      <c r="A992" t="s">
        <v>1245</v>
      </c>
      <c r="B992" t="s">
        <v>1993</v>
      </c>
      <c r="C992" s="1">
        <v>46162</v>
      </c>
      <c r="D992" s="5">
        <f>1.84*3</f>
        <v>5.5200000000000005</v>
      </c>
      <c r="E992" t="s">
        <v>558</v>
      </c>
      <c r="F992" t="s">
        <v>1049</v>
      </c>
      <c r="G992" t="s">
        <v>128</v>
      </c>
      <c r="H992" t="s">
        <v>2168</v>
      </c>
    </row>
    <row r="993" spans="1:8" ht="15" customHeight="1" x14ac:dyDescent="0.25">
      <c r="A993" t="s">
        <v>171</v>
      </c>
      <c r="B993" t="s">
        <v>172</v>
      </c>
      <c r="C993" s="1">
        <v>46162</v>
      </c>
      <c r="D993" s="5">
        <v>3.86</v>
      </c>
      <c r="E993" t="s">
        <v>558</v>
      </c>
      <c r="F993" t="s">
        <v>1049</v>
      </c>
      <c r="G993" t="s">
        <v>148</v>
      </c>
      <c r="H993" t="s">
        <v>2169</v>
      </c>
    </row>
    <row r="994" spans="1:8" ht="15" customHeight="1" x14ac:dyDescent="0.25">
      <c r="A994" t="s">
        <v>1691</v>
      </c>
      <c r="B994" t="s">
        <v>1080</v>
      </c>
      <c r="C994" s="1">
        <v>46162</v>
      </c>
      <c r="D994" s="5">
        <v>3</v>
      </c>
      <c r="E994" t="s">
        <v>558</v>
      </c>
      <c r="F994" t="s">
        <v>1049</v>
      </c>
      <c r="G994" t="s">
        <v>117</v>
      </c>
      <c r="H994" t="s">
        <v>2170</v>
      </c>
    </row>
    <row r="995" spans="1:8" ht="15" customHeight="1" x14ac:dyDescent="0.25">
      <c r="A995" t="s">
        <v>2171</v>
      </c>
      <c r="B995" t="s">
        <v>2172</v>
      </c>
      <c r="C995" s="1">
        <v>46162</v>
      </c>
      <c r="D995" s="5">
        <v>146.66999999999999</v>
      </c>
      <c r="E995" t="s">
        <v>558</v>
      </c>
      <c r="F995" t="s">
        <v>1049</v>
      </c>
      <c r="G995" t="s">
        <v>128</v>
      </c>
      <c r="H995" t="s">
        <v>2173</v>
      </c>
    </row>
    <row r="996" spans="1:8" ht="15" customHeight="1" x14ac:dyDescent="0.25">
      <c r="A996" t="s">
        <v>2174</v>
      </c>
      <c r="B996" t="s">
        <v>2175</v>
      </c>
      <c r="C996" s="1">
        <v>46162</v>
      </c>
      <c r="D996" s="5">
        <v>38.520000000000003</v>
      </c>
      <c r="E996" t="s">
        <v>558</v>
      </c>
      <c r="F996" t="s">
        <v>1049</v>
      </c>
      <c r="G996" t="s">
        <v>260</v>
      </c>
      <c r="H996" t="s">
        <v>2176</v>
      </c>
    </row>
    <row r="997" spans="1:8" ht="15" customHeight="1" x14ac:dyDescent="0.25">
      <c r="A997" t="s">
        <v>2177</v>
      </c>
      <c r="B997" t="s">
        <v>2178</v>
      </c>
      <c r="C997" s="1">
        <v>46162</v>
      </c>
      <c r="D997" s="5">
        <v>26</v>
      </c>
      <c r="E997" t="s">
        <v>558</v>
      </c>
      <c r="F997" t="s">
        <v>1049</v>
      </c>
      <c r="G997" t="s">
        <v>148</v>
      </c>
      <c r="H997" t="s">
        <v>2179</v>
      </c>
    </row>
    <row r="998" spans="1:8" ht="15" customHeight="1" x14ac:dyDescent="0.25">
      <c r="A998" t="s">
        <v>613</v>
      </c>
      <c r="B998" t="s">
        <v>614</v>
      </c>
      <c r="C998" s="1">
        <v>46162</v>
      </c>
      <c r="D998" s="5">
        <v>3</v>
      </c>
      <c r="E998" t="s">
        <v>558</v>
      </c>
      <c r="F998" t="s">
        <v>1049</v>
      </c>
      <c r="G998" t="s">
        <v>117</v>
      </c>
      <c r="H998" t="s">
        <v>2180</v>
      </c>
    </row>
    <row r="999" spans="1:8" ht="15" customHeight="1" x14ac:dyDescent="0.25">
      <c r="A999" t="s">
        <v>2181</v>
      </c>
      <c r="B999" t="s">
        <v>2182</v>
      </c>
      <c r="C999" s="1">
        <v>46162</v>
      </c>
      <c r="D999" s="5">
        <v>69.599999999999994</v>
      </c>
      <c r="E999" t="s">
        <v>558</v>
      </c>
      <c r="F999" t="s">
        <v>1049</v>
      </c>
      <c r="G999" t="s">
        <v>117</v>
      </c>
      <c r="H999" t="s">
        <v>2183</v>
      </c>
    </row>
    <row r="1000" spans="1:8" ht="15" customHeight="1" x14ac:dyDescent="0.25">
      <c r="A1000" t="s">
        <v>2184</v>
      </c>
      <c r="B1000" t="s">
        <v>2185</v>
      </c>
      <c r="C1000" s="1">
        <v>46162</v>
      </c>
      <c r="D1000" s="5">
        <v>126.64</v>
      </c>
      <c r="E1000" t="s">
        <v>558</v>
      </c>
      <c r="F1000" t="s">
        <v>1049</v>
      </c>
      <c r="G1000" t="s">
        <v>183</v>
      </c>
      <c r="H1000" t="s">
        <v>2186</v>
      </c>
    </row>
    <row r="1001" spans="1:8" ht="15" customHeight="1" x14ac:dyDescent="0.25">
      <c r="A1001" t="s">
        <v>2143</v>
      </c>
      <c r="B1001" t="s">
        <v>2144</v>
      </c>
      <c r="C1001" s="1">
        <v>46163</v>
      </c>
      <c r="D1001" s="5">
        <v>5.52</v>
      </c>
      <c r="E1001" t="s">
        <v>558</v>
      </c>
      <c r="F1001" t="s">
        <v>1049</v>
      </c>
      <c r="G1001" t="s">
        <v>309</v>
      </c>
      <c r="H1001" t="s">
        <v>2187</v>
      </c>
    </row>
    <row r="1002" spans="1:8" ht="15" customHeight="1" x14ac:dyDescent="0.25">
      <c r="A1002" t="s">
        <v>1052</v>
      </c>
      <c r="B1002" t="s">
        <v>989</v>
      </c>
      <c r="C1002" s="1">
        <v>46163</v>
      </c>
      <c r="D1002" s="5">
        <v>5.52</v>
      </c>
      <c r="E1002" t="s">
        <v>558</v>
      </c>
      <c r="F1002" t="s">
        <v>1049</v>
      </c>
      <c r="G1002" t="s">
        <v>231</v>
      </c>
      <c r="H1002" t="s">
        <v>2188</v>
      </c>
    </row>
    <row r="1003" spans="1:8" ht="15" customHeight="1" x14ac:dyDescent="0.25">
      <c r="A1003" t="s">
        <v>15</v>
      </c>
      <c r="B1003" t="s">
        <v>383</v>
      </c>
      <c r="C1003" s="1">
        <v>46163</v>
      </c>
      <c r="D1003" s="5">
        <v>26</v>
      </c>
      <c r="E1003" t="s">
        <v>558</v>
      </c>
      <c r="F1003" t="s">
        <v>1049</v>
      </c>
      <c r="G1003" t="s">
        <v>128</v>
      </c>
      <c r="H1003" t="s">
        <v>2189</v>
      </c>
    </row>
    <row r="1004" spans="1:8" ht="15" customHeight="1" x14ac:dyDescent="0.25">
      <c r="A1004" t="s">
        <v>2190</v>
      </c>
      <c r="B1004" t="s">
        <v>2191</v>
      </c>
      <c r="C1004" s="1">
        <v>46163</v>
      </c>
      <c r="D1004" s="5">
        <v>131.38999999999999</v>
      </c>
      <c r="E1004" t="s">
        <v>558</v>
      </c>
      <c r="F1004" t="s">
        <v>1049</v>
      </c>
      <c r="G1004" t="s">
        <v>1689</v>
      </c>
      <c r="H1004" t="s">
        <v>2192</v>
      </c>
    </row>
    <row r="1005" spans="1:8" ht="15" customHeight="1" x14ac:dyDescent="0.25">
      <c r="A1005" t="s">
        <v>1521</v>
      </c>
      <c r="B1005" t="s">
        <v>1522</v>
      </c>
      <c r="C1005" s="1">
        <v>46163</v>
      </c>
      <c r="D1005" s="5">
        <v>3</v>
      </c>
      <c r="E1005" t="s">
        <v>558</v>
      </c>
      <c r="F1005" t="s">
        <v>1049</v>
      </c>
      <c r="G1005" t="s">
        <v>117</v>
      </c>
      <c r="H1005" t="s">
        <v>2193</v>
      </c>
    </row>
    <row r="1006" spans="1:8" ht="15" customHeight="1" x14ac:dyDescent="0.25">
      <c r="A1006" t="s">
        <v>1410</v>
      </c>
      <c r="B1006" t="s">
        <v>1411</v>
      </c>
      <c r="C1006" s="1">
        <v>46163</v>
      </c>
      <c r="D1006" s="5">
        <v>5.52</v>
      </c>
      <c r="E1006" t="s">
        <v>558</v>
      </c>
      <c r="F1006" t="s">
        <v>1049</v>
      </c>
      <c r="G1006" t="s">
        <v>135</v>
      </c>
      <c r="H1006" t="s">
        <v>2194</v>
      </c>
    </row>
    <row r="1007" spans="1:8" ht="15" customHeight="1" x14ac:dyDescent="0.25">
      <c r="A1007" t="s">
        <v>531</v>
      </c>
      <c r="B1007" t="s">
        <v>2195</v>
      </c>
      <c r="C1007" s="1">
        <v>46163</v>
      </c>
      <c r="D1007" s="5">
        <v>23.29</v>
      </c>
      <c r="E1007" t="s">
        <v>558</v>
      </c>
      <c r="F1007" t="s">
        <v>1049</v>
      </c>
      <c r="G1007" t="s">
        <v>264</v>
      </c>
      <c r="H1007" t="s">
        <v>2196</v>
      </c>
    </row>
    <row r="1008" spans="1:8" ht="15" customHeight="1" x14ac:dyDescent="0.25">
      <c r="A1008" t="s">
        <v>2197</v>
      </c>
      <c r="B1008" t="s">
        <v>2198</v>
      </c>
      <c r="C1008" s="1">
        <v>46163</v>
      </c>
      <c r="D1008" s="5">
        <v>141.79</v>
      </c>
      <c r="E1008" t="s">
        <v>558</v>
      </c>
      <c r="F1008" t="s">
        <v>1049</v>
      </c>
      <c r="G1008" t="s">
        <v>231</v>
      </c>
      <c r="H1008" t="s">
        <v>2199</v>
      </c>
    </row>
    <row r="1009" spans="1:8" ht="15" customHeight="1" x14ac:dyDescent="0.25">
      <c r="A1009" t="s">
        <v>2200</v>
      </c>
      <c r="B1009" t="s">
        <v>2201</v>
      </c>
      <c r="C1009" s="1">
        <v>46163</v>
      </c>
      <c r="D1009" s="5">
        <v>31.2</v>
      </c>
      <c r="E1009" t="s">
        <v>558</v>
      </c>
      <c r="F1009" t="s">
        <v>1049</v>
      </c>
      <c r="G1009" t="s">
        <v>292</v>
      </c>
      <c r="H1009" t="s">
        <v>2202</v>
      </c>
    </row>
    <row r="1010" spans="1:8" ht="15" customHeight="1" x14ac:dyDescent="0.25">
      <c r="A1010" t="s">
        <v>1260</v>
      </c>
      <c r="B1010" t="s">
        <v>1261</v>
      </c>
      <c r="C1010" s="1">
        <v>46163</v>
      </c>
      <c r="D1010" s="5">
        <v>7.36</v>
      </c>
      <c r="E1010" t="s">
        <v>558</v>
      </c>
      <c r="F1010" t="s">
        <v>1049</v>
      </c>
      <c r="G1010" t="s">
        <v>292</v>
      </c>
      <c r="H1010" t="s">
        <v>2203</v>
      </c>
    </row>
    <row r="1011" spans="1:8" ht="15" customHeight="1" x14ac:dyDescent="0.25">
      <c r="A1011" t="s">
        <v>2135</v>
      </c>
      <c r="B1011" t="s">
        <v>2136</v>
      </c>
      <c r="C1011" s="1">
        <v>46163</v>
      </c>
      <c r="D1011" s="5">
        <v>3.68</v>
      </c>
      <c r="E1011" t="s">
        <v>558</v>
      </c>
      <c r="F1011" t="s">
        <v>1049</v>
      </c>
      <c r="G1011" t="s">
        <v>264</v>
      </c>
      <c r="H1011" t="s">
        <v>2204</v>
      </c>
    </row>
    <row r="1012" spans="1:8" ht="15" customHeight="1" x14ac:dyDescent="0.25">
      <c r="A1012" t="s">
        <v>2205</v>
      </c>
      <c r="B1012" t="s">
        <v>2206</v>
      </c>
      <c r="C1012" s="1">
        <v>46163</v>
      </c>
      <c r="D1012" s="5">
        <v>38.520000000000003</v>
      </c>
      <c r="E1012" t="s">
        <v>558</v>
      </c>
      <c r="F1012" t="s">
        <v>1049</v>
      </c>
      <c r="G1012" t="s">
        <v>309</v>
      </c>
      <c r="H1012" t="s">
        <v>2207</v>
      </c>
    </row>
    <row r="1013" spans="1:8" ht="15" customHeight="1" x14ac:dyDescent="0.25">
      <c r="A1013" t="s">
        <v>1709</v>
      </c>
      <c r="B1013" t="s">
        <v>1710</v>
      </c>
      <c r="C1013" s="1">
        <v>46163</v>
      </c>
      <c r="D1013" s="5">
        <v>3</v>
      </c>
      <c r="E1013" t="s">
        <v>558</v>
      </c>
      <c r="F1013" t="s">
        <v>1049</v>
      </c>
      <c r="G1013" t="s">
        <v>124</v>
      </c>
      <c r="H1013" t="s">
        <v>2208</v>
      </c>
    </row>
    <row r="1014" spans="1:8" ht="15" customHeight="1" x14ac:dyDescent="0.25">
      <c r="A1014" t="s">
        <v>2209</v>
      </c>
      <c r="B1014" t="s">
        <v>2210</v>
      </c>
      <c r="C1014" s="1">
        <v>46163</v>
      </c>
      <c r="D1014" s="5">
        <v>150.6</v>
      </c>
      <c r="E1014" t="s">
        <v>558</v>
      </c>
      <c r="F1014" t="s">
        <v>1049</v>
      </c>
      <c r="G1014" t="s">
        <v>128</v>
      </c>
      <c r="H1014" t="s">
        <v>22</v>
      </c>
    </row>
    <row r="1015" spans="1:8" ht="15" customHeight="1" x14ac:dyDescent="0.25">
      <c r="A1015" t="s">
        <v>2211</v>
      </c>
      <c r="B1015" t="s">
        <v>2212</v>
      </c>
      <c r="C1015" s="1">
        <v>46163</v>
      </c>
      <c r="D1015" s="5">
        <v>3.86</v>
      </c>
      <c r="E1015" t="s">
        <v>558</v>
      </c>
      <c r="F1015" t="s">
        <v>1049</v>
      </c>
      <c r="G1015" t="s">
        <v>124</v>
      </c>
      <c r="H1015" t="s">
        <v>2213</v>
      </c>
    </row>
    <row r="1016" spans="1:8" ht="15" customHeight="1" x14ac:dyDescent="0.25">
      <c r="A1016" t="s">
        <v>2214</v>
      </c>
      <c r="B1016" t="s">
        <v>2215</v>
      </c>
      <c r="C1016" s="1">
        <v>46163</v>
      </c>
      <c r="D1016" s="5">
        <v>25.68</v>
      </c>
      <c r="E1016" t="s">
        <v>558</v>
      </c>
      <c r="F1016" t="s">
        <v>1049</v>
      </c>
      <c r="G1016" t="s">
        <v>239</v>
      </c>
      <c r="H1016" t="s">
        <v>2216</v>
      </c>
    </row>
    <row r="1017" spans="1:8" ht="15" customHeight="1" x14ac:dyDescent="0.25">
      <c r="A1017" t="s">
        <v>2217</v>
      </c>
      <c r="B1017" t="s">
        <v>2218</v>
      </c>
      <c r="C1017" s="1">
        <v>46163</v>
      </c>
      <c r="D1017" s="5">
        <v>31.54</v>
      </c>
      <c r="E1017" t="s">
        <v>558</v>
      </c>
      <c r="F1017" t="s">
        <v>1049</v>
      </c>
      <c r="G1017" t="s">
        <v>2219</v>
      </c>
      <c r="H1017" t="s">
        <v>2220</v>
      </c>
    </row>
    <row r="1018" spans="1:8" ht="15" customHeight="1" x14ac:dyDescent="0.25">
      <c r="A1018" t="s">
        <v>392</v>
      </c>
      <c r="B1018" t="s">
        <v>393</v>
      </c>
      <c r="C1018" s="1">
        <v>46163</v>
      </c>
      <c r="D1018" s="5">
        <v>150.6</v>
      </c>
      <c r="E1018" t="s">
        <v>558</v>
      </c>
      <c r="F1018" t="s">
        <v>1049</v>
      </c>
      <c r="G1018" t="s">
        <v>128</v>
      </c>
      <c r="H1018" t="s">
        <v>2221</v>
      </c>
    </row>
    <row r="1019" spans="1:8" ht="15" customHeight="1" x14ac:dyDescent="0.25">
      <c r="A1019" t="s">
        <v>2222</v>
      </c>
      <c r="B1019" t="s">
        <v>2223</v>
      </c>
      <c r="C1019" s="1">
        <v>46163</v>
      </c>
      <c r="D1019" s="5">
        <f>15.77*2+120.99</f>
        <v>152.53</v>
      </c>
      <c r="E1019" t="s">
        <v>558</v>
      </c>
      <c r="F1019" t="s">
        <v>1049</v>
      </c>
      <c r="G1019" t="s">
        <v>148</v>
      </c>
      <c r="H1019" t="s">
        <v>2224</v>
      </c>
    </row>
    <row r="1020" spans="1:8" ht="15" customHeight="1" x14ac:dyDescent="0.25">
      <c r="A1020" t="s">
        <v>2225</v>
      </c>
      <c r="B1020" t="s">
        <v>2226</v>
      </c>
      <c r="C1020" s="1">
        <v>46163</v>
      </c>
      <c r="D1020" s="5">
        <v>130.6</v>
      </c>
      <c r="E1020" t="s">
        <v>558</v>
      </c>
      <c r="F1020" t="s">
        <v>1049</v>
      </c>
      <c r="G1020" t="s">
        <v>128</v>
      </c>
      <c r="H1020" t="s">
        <v>2227</v>
      </c>
    </row>
    <row r="1021" spans="1:8" ht="15" customHeight="1" x14ac:dyDescent="0.25">
      <c r="A1021" t="s">
        <v>2225</v>
      </c>
      <c r="B1021" t="s">
        <v>2226</v>
      </c>
      <c r="C1021" s="1">
        <v>46163</v>
      </c>
      <c r="D1021" s="5">
        <v>120.99</v>
      </c>
      <c r="E1021" t="s">
        <v>558</v>
      </c>
      <c r="F1021" t="s">
        <v>1049</v>
      </c>
      <c r="G1021" t="s">
        <v>128</v>
      </c>
      <c r="H1021" t="s">
        <v>2228</v>
      </c>
    </row>
    <row r="1022" spans="1:8" ht="15" customHeight="1" x14ac:dyDescent="0.25">
      <c r="A1022" t="s">
        <v>2229</v>
      </c>
      <c r="B1022" t="s">
        <v>2230</v>
      </c>
      <c r="C1022" s="1">
        <v>46163</v>
      </c>
      <c r="D1022" s="5">
        <v>38.520000000000003</v>
      </c>
      <c r="E1022" t="s">
        <v>558</v>
      </c>
      <c r="F1022" t="s">
        <v>1049</v>
      </c>
      <c r="G1022" t="s">
        <v>260</v>
      </c>
      <c r="H1022" t="s">
        <v>2231</v>
      </c>
    </row>
    <row r="1023" spans="1:8" ht="15" customHeight="1" x14ac:dyDescent="0.25">
      <c r="A1023" t="s">
        <v>2232</v>
      </c>
      <c r="B1023" t="s">
        <v>2233</v>
      </c>
      <c r="C1023" s="1">
        <v>46163</v>
      </c>
      <c r="D1023" s="5">
        <v>31.2</v>
      </c>
      <c r="E1023" t="s">
        <v>558</v>
      </c>
      <c r="F1023" t="s">
        <v>1049</v>
      </c>
      <c r="G1023" t="s">
        <v>231</v>
      </c>
      <c r="H1023" t="s">
        <v>2234</v>
      </c>
    </row>
    <row r="1024" spans="1:8" ht="15" customHeight="1" x14ac:dyDescent="0.25">
      <c r="A1024" t="s">
        <v>2235</v>
      </c>
      <c r="B1024" t="s">
        <v>2236</v>
      </c>
      <c r="C1024" s="1">
        <v>46163</v>
      </c>
      <c r="D1024" s="5">
        <v>130.6</v>
      </c>
      <c r="E1024" t="s">
        <v>558</v>
      </c>
      <c r="F1024" t="s">
        <v>1049</v>
      </c>
      <c r="G1024" t="s">
        <v>222</v>
      </c>
      <c r="H1024" t="s">
        <v>2237</v>
      </c>
    </row>
    <row r="1025" spans="1:9" ht="15" customHeight="1" x14ac:dyDescent="0.25">
      <c r="A1025" t="s">
        <v>2238</v>
      </c>
      <c r="B1025" t="s">
        <v>2239</v>
      </c>
      <c r="C1025" s="1">
        <v>46163</v>
      </c>
      <c r="D1025" s="5">
        <v>20.8</v>
      </c>
      <c r="E1025" t="s">
        <v>558</v>
      </c>
      <c r="F1025" t="s">
        <v>1049</v>
      </c>
      <c r="G1025" t="s">
        <v>369</v>
      </c>
      <c r="H1025" t="s">
        <v>2240</v>
      </c>
    </row>
    <row r="1026" spans="1:9" ht="15" customHeight="1" x14ac:dyDescent="0.25">
      <c r="A1026" t="s">
        <v>2241</v>
      </c>
      <c r="B1026" t="s">
        <v>556</v>
      </c>
      <c r="C1026" s="1">
        <v>46164</v>
      </c>
      <c r="D1026" s="5">
        <v>3</v>
      </c>
      <c r="E1026" t="s">
        <v>558</v>
      </c>
      <c r="F1026" t="s">
        <v>1049</v>
      </c>
      <c r="G1026" t="s">
        <v>117</v>
      </c>
      <c r="H1026" t="s">
        <v>2242</v>
      </c>
    </row>
    <row r="1027" spans="1:9" ht="15" customHeight="1" x14ac:dyDescent="0.25">
      <c r="A1027" t="s">
        <v>2243</v>
      </c>
      <c r="B1027" t="s">
        <v>2244</v>
      </c>
      <c r="C1027" s="1">
        <v>46164</v>
      </c>
      <c r="D1027" s="5">
        <v>34.799999999999997</v>
      </c>
      <c r="E1027" t="s">
        <v>558</v>
      </c>
      <c r="F1027" t="s">
        <v>1049</v>
      </c>
      <c r="G1027" t="s">
        <v>117</v>
      </c>
      <c r="H1027" t="s">
        <v>2245</v>
      </c>
    </row>
    <row r="1028" spans="1:9" ht="15" customHeight="1" x14ac:dyDescent="0.25">
      <c r="A1028" t="s">
        <v>540</v>
      </c>
      <c r="B1028" t="s">
        <v>541</v>
      </c>
      <c r="C1028" s="1">
        <v>46164</v>
      </c>
      <c r="D1028" s="5">
        <v>26</v>
      </c>
      <c r="E1028" t="s">
        <v>558</v>
      </c>
      <c r="F1028" t="s">
        <v>1049</v>
      </c>
      <c r="G1028" t="s">
        <v>128</v>
      </c>
      <c r="H1028" t="s">
        <v>2246</v>
      </c>
    </row>
    <row r="1029" spans="1:9" ht="15" customHeight="1" x14ac:dyDescent="0.25">
      <c r="A1029" t="s">
        <v>1841</v>
      </c>
      <c r="B1029" t="s">
        <v>1842</v>
      </c>
      <c r="C1029" s="1">
        <v>46164</v>
      </c>
      <c r="D1029" s="5">
        <v>5.52</v>
      </c>
      <c r="E1029" t="s">
        <v>558</v>
      </c>
      <c r="F1029" t="s">
        <v>1049</v>
      </c>
      <c r="G1029" t="s">
        <v>135</v>
      </c>
      <c r="H1029" t="s">
        <v>2247</v>
      </c>
    </row>
    <row r="1030" spans="1:9" ht="15" customHeight="1" x14ac:dyDescent="0.25">
      <c r="A1030" t="s">
        <v>549</v>
      </c>
      <c r="B1030" t="s">
        <v>550</v>
      </c>
      <c r="C1030" s="1">
        <v>46164</v>
      </c>
      <c r="D1030" s="5">
        <v>3.86</v>
      </c>
      <c r="E1030" t="s">
        <v>558</v>
      </c>
      <c r="F1030" t="s">
        <v>1049</v>
      </c>
      <c r="G1030" t="s">
        <v>124</v>
      </c>
      <c r="H1030" t="s">
        <v>2248</v>
      </c>
    </row>
    <row r="1031" spans="1:9" ht="15" customHeight="1" x14ac:dyDescent="0.25">
      <c r="A1031" t="s">
        <v>2249</v>
      </c>
      <c r="B1031" t="s">
        <v>2250</v>
      </c>
      <c r="C1031" s="1">
        <v>46164</v>
      </c>
      <c r="D1031" s="5">
        <v>3.86</v>
      </c>
      <c r="E1031" t="s">
        <v>558</v>
      </c>
      <c r="F1031" t="s">
        <v>1049</v>
      </c>
      <c r="G1031" t="s">
        <v>124</v>
      </c>
      <c r="H1031" t="s">
        <v>2251</v>
      </c>
    </row>
    <row r="1032" spans="1:9" ht="15" customHeight="1" x14ac:dyDescent="0.25">
      <c r="A1032" t="s">
        <v>949</v>
      </c>
      <c r="B1032" t="s">
        <v>950</v>
      </c>
      <c r="C1032" s="1">
        <v>46164</v>
      </c>
      <c r="D1032" s="5">
        <v>5.52</v>
      </c>
      <c r="E1032" t="s">
        <v>558</v>
      </c>
      <c r="F1032" t="s">
        <v>1049</v>
      </c>
      <c r="G1032" t="s">
        <v>135</v>
      </c>
      <c r="H1032" t="s">
        <v>2252</v>
      </c>
    </row>
    <row r="1033" spans="1:9" ht="15" customHeight="1" x14ac:dyDescent="0.25">
      <c r="A1033" t="s">
        <v>1532</v>
      </c>
      <c r="B1033" t="s">
        <v>1533</v>
      </c>
      <c r="C1033" s="1">
        <v>46164</v>
      </c>
      <c r="D1033" s="5">
        <v>150.6</v>
      </c>
      <c r="E1033" t="s">
        <v>558</v>
      </c>
      <c r="F1033" t="s">
        <v>1049</v>
      </c>
      <c r="G1033" t="s">
        <v>128</v>
      </c>
      <c r="H1033" t="s">
        <v>2253</v>
      </c>
    </row>
    <row r="1034" spans="1:9" ht="15" customHeight="1" x14ac:dyDescent="0.25">
      <c r="A1034" t="s">
        <v>2254</v>
      </c>
      <c r="B1034" t="s">
        <v>2255</v>
      </c>
      <c r="C1034" s="1">
        <v>46164</v>
      </c>
      <c r="D1034" s="5">
        <v>141.79</v>
      </c>
      <c r="E1034" t="s">
        <v>558</v>
      </c>
      <c r="F1034" t="s">
        <v>1049</v>
      </c>
      <c r="G1034" t="s">
        <v>1085</v>
      </c>
      <c r="H1034" t="s">
        <v>2256</v>
      </c>
    </row>
    <row r="1035" spans="1:9" ht="15" customHeight="1" x14ac:dyDescent="0.25">
      <c r="A1035" t="s">
        <v>2257</v>
      </c>
      <c r="B1035" t="s">
        <v>2258</v>
      </c>
      <c r="C1035" s="1">
        <v>46164</v>
      </c>
      <c r="D1035" s="5">
        <v>136.76</v>
      </c>
      <c r="E1035" t="s">
        <v>558</v>
      </c>
      <c r="F1035" t="s">
        <v>1049</v>
      </c>
      <c r="G1035" t="s">
        <v>264</v>
      </c>
      <c r="H1035" t="s">
        <v>2259</v>
      </c>
      <c r="I1035" t="s">
        <v>2260</v>
      </c>
    </row>
    <row r="1036" spans="1:9" ht="15" customHeight="1" x14ac:dyDescent="0.25">
      <c r="A1036" t="s">
        <v>2261</v>
      </c>
      <c r="B1036" t="s">
        <v>2262</v>
      </c>
      <c r="C1036" s="1">
        <v>46164</v>
      </c>
      <c r="D1036" s="5">
        <v>31.2</v>
      </c>
      <c r="E1036" t="s">
        <v>558</v>
      </c>
      <c r="F1036" t="s">
        <v>1049</v>
      </c>
      <c r="G1036" t="s">
        <v>657</v>
      </c>
      <c r="H1036" t="s">
        <v>2263</v>
      </c>
    </row>
    <row r="1037" spans="1:9" ht="15" customHeight="1" x14ac:dyDescent="0.25">
      <c r="A1037" t="s">
        <v>2264</v>
      </c>
      <c r="B1037" t="s">
        <v>2265</v>
      </c>
      <c r="C1037" s="1">
        <v>46164</v>
      </c>
      <c r="D1037" s="5">
        <v>141.79</v>
      </c>
      <c r="E1037" t="s">
        <v>558</v>
      </c>
      <c r="F1037" t="s">
        <v>1049</v>
      </c>
      <c r="G1037" t="s">
        <v>1085</v>
      </c>
      <c r="H1037" t="s">
        <v>2266</v>
      </c>
    </row>
    <row r="1038" spans="1:9" ht="15" customHeight="1" x14ac:dyDescent="0.25">
      <c r="A1038" t="s">
        <v>2267</v>
      </c>
      <c r="B1038" t="s">
        <v>2268</v>
      </c>
      <c r="C1038" s="1">
        <v>46164</v>
      </c>
      <c r="D1038" s="5">
        <v>31.2</v>
      </c>
      <c r="E1038" t="s">
        <v>558</v>
      </c>
      <c r="F1038" t="s">
        <v>1049</v>
      </c>
      <c r="G1038" t="s">
        <v>1085</v>
      </c>
      <c r="H1038" t="s">
        <v>2269</v>
      </c>
    </row>
    <row r="1039" spans="1:9" ht="15" customHeight="1" x14ac:dyDescent="0.25">
      <c r="A1039" t="s">
        <v>2270</v>
      </c>
      <c r="B1039" t="s">
        <v>2271</v>
      </c>
      <c r="C1039" s="1">
        <v>46164</v>
      </c>
      <c r="D1039" s="5">
        <v>38.520000000000003</v>
      </c>
      <c r="E1039" t="s">
        <v>558</v>
      </c>
      <c r="F1039" t="s">
        <v>1049</v>
      </c>
      <c r="G1039" t="s">
        <v>260</v>
      </c>
      <c r="H1039" t="s">
        <v>2272</v>
      </c>
    </row>
    <row r="1040" spans="1:9" ht="15" customHeight="1" x14ac:dyDescent="0.25">
      <c r="A1040" t="s">
        <v>606</v>
      </c>
      <c r="B1040" t="s">
        <v>607</v>
      </c>
      <c r="C1040" s="1">
        <v>46164</v>
      </c>
      <c r="D1040" s="5">
        <v>5.52</v>
      </c>
      <c r="E1040" t="s">
        <v>558</v>
      </c>
      <c r="F1040" t="s">
        <v>1049</v>
      </c>
      <c r="G1040" t="s">
        <v>1085</v>
      </c>
      <c r="H1040" t="s">
        <v>2273</v>
      </c>
    </row>
    <row r="1041" spans="1:8" ht="15" customHeight="1" x14ac:dyDescent="0.25">
      <c r="A1041" t="s">
        <v>2274</v>
      </c>
      <c r="B1041" t="s">
        <v>2275</v>
      </c>
      <c r="C1041" s="1">
        <v>46164</v>
      </c>
      <c r="D1041" s="5">
        <v>141.79</v>
      </c>
      <c r="E1041" t="s">
        <v>558</v>
      </c>
      <c r="F1041" t="s">
        <v>1049</v>
      </c>
      <c r="G1041" t="s">
        <v>1085</v>
      </c>
      <c r="H1041" t="s">
        <v>2276</v>
      </c>
    </row>
    <row r="1042" spans="1:8" ht="15" customHeight="1" x14ac:dyDescent="0.25">
      <c r="A1042" t="s">
        <v>2277</v>
      </c>
      <c r="B1042" t="s">
        <v>2278</v>
      </c>
      <c r="C1042" s="1">
        <v>46164</v>
      </c>
      <c r="D1042" s="5">
        <v>31.2</v>
      </c>
      <c r="E1042" t="s">
        <v>558</v>
      </c>
      <c r="F1042" t="s">
        <v>1049</v>
      </c>
      <c r="G1042" t="s">
        <v>1085</v>
      </c>
      <c r="H1042" t="s">
        <v>2279</v>
      </c>
    </row>
    <row r="1043" spans="1:8" ht="15" customHeight="1" x14ac:dyDescent="0.25">
      <c r="A1043" t="s">
        <v>2280</v>
      </c>
      <c r="B1043" t="s">
        <v>2281</v>
      </c>
      <c r="C1043" s="1">
        <v>46164</v>
      </c>
      <c r="D1043" s="5">
        <v>31.2</v>
      </c>
      <c r="E1043" t="s">
        <v>558</v>
      </c>
      <c r="F1043" t="s">
        <v>1049</v>
      </c>
      <c r="G1043" t="s">
        <v>1085</v>
      </c>
      <c r="H1043" t="s">
        <v>2282</v>
      </c>
    </row>
    <row r="1044" spans="1:8" ht="15" customHeight="1" x14ac:dyDescent="0.25">
      <c r="A1044" t="s">
        <v>2283</v>
      </c>
      <c r="B1044" t="s">
        <v>2284</v>
      </c>
      <c r="C1044" s="1">
        <v>46164</v>
      </c>
      <c r="D1044" s="5">
        <v>31.2</v>
      </c>
      <c r="E1044" t="s">
        <v>558</v>
      </c>
      <c r="F1044" t="s">
        <v>1049</v>
      </c>
      <c r="G1044" t="s">
        <v>1085</v>
      </c>
      <c r="H1044" t="s">
        <v>2285</v>
      </c>
    </row>
    <row r="1045" spans="1:8" ht="15" customHeight="1" x14ac:dyDescent="0.25">
      <c r="A1045" t="s">
        <v>2229</v>
      </c>
      <c r="B1045" t="s">
        <v>2230</v>
      </c>
      <c r="C1045" s="1">
        <v>46164</v>
      </c>
      <c r="D1045" s="5">
        <v>5.52</v>
      </c>
      <c r="E1045" t="s">
        <v>558</v>
      </c>
      <c r="F1045" t="s">
        <v>1049</v>
      </c>
      <c r="G1045" t="s">
        <v>260</v>
      </c>
      <c r="H1045" t="s">
        <v>2286</v>
      </c>
    </row>
    <row r="1046" spans="1:8" ht="15" customHeight="1" x14ac:dyDescent="0.25">
      <c r="A1046" t="s">
        <v>2287</v>
      </c>
      <c r="B1046" t="s">
        <v>2288</v>
      </c>
      <c r="C1046" s="1">
        <v>46164</v>
      </c>
      <c r="D1046" s="5">
        <v>38.520000000000003</v>
      </c>
      <c r="E1046" t="s">
        <v>558</v>
      </c>
      <c r="F1046" t="s">
        <v>1049</v>
      </c>
      <c r="G1046" t="s">
        <v>260</v>
      </c>
      <c r="H1046" t="s">
        <v>2289</v>
      </c>
    </row>
    <row r="1047" spans="1:8" ht="15" customHeight="1" x14ac:dyDescent="0.25">
      <c r="A1047" t="s">
        <v>1267</v>
      </c>
      <c r="B1047" t="s">
        <v>404</v>
      </c>
      <c r="C1047" s="1">
        <v>46167</v>
      </c>
      <c r="D1047" s="5">
        <v>3</v>
      </c>
      <c r="E1047" t="s">
        <v>558</v>
      </c>
      <c r="F1047" t="s">
        <v>1049</v>
      </c>
      <c r="G1047" t="s">
        <v>117</v>
      </c>
      <c r="H1047" t="s">
        <v>2290</v>
      </c>
    </row>
    <row r="1048" spans="1:8" ht="15" customHeight="1" x14ac:dyDescent="0.25">
      <c r="A1048" t="s">
        <v>2291</v>
      </c>
      <c r="B1048" t="s">
        <v>2292</v>
      </c>
      <c r="C1048" s="1">
        <v>46165</v>
      </c>
      <c r="D1048" s="5">
        <v>31.2</v>
      </c>
      <c r="E1048" t="s">
        <v>558</v>
      </c>
      <c r="F1048" t="s">
        <v>1049</v>
      </c>
      <c r="G1048" t="s">
        <v>657</v>
      </c>
      <c r="H1048" t="s">
        <v>2293</v>
      </c>
    </row>
    <row r="1049" spans="1:8" ht="15" customHeight="1" x14ac:dyDescent="0.25">
      <c r="A1049" t="s">
        <v>710</v>
      </c>
      <c r="B1049" t="s">
        <v>711</v>
      </c>
      <c r="C1049" s="1">
        <v>46165</v>
      </c>
      <c r="D1049" s="5">
        <v>3.68</v>
      </c>
      <c r="E1049" t="s">
        <v>558</v>
      </c>
      <c r="F1049" t="s">
        <v>1049</v>
      </c>
      <c r="G1049" t="s">
        <v>264</v>
      </c>
      <c r="H1049" t="s">
        <v>2294</v>
      </c>
    </row>
    <row r="1050" spans="1:8" ht="15" customHeight="1" x14ac:dyDescent="0.25">
      <c r="A1050" t="s">
        <v>2295</v>
      </c>
      <c r="B1050" t="s">
        <v>2296</v>
      </c>
      <c r="C1050" s="1">
        <v>46165</v>
      </c>
      <c r="D1050" s="5">
        <v>31.2</v>
      </c>
      <c r="E1050" t="s">
        <v>558</v>
      </c>
      <c r="F1050" t="s">
        <v>1049</v>
      </c>
      <c r="G1050" t="s">
        <v>657</v>
      </c>
      <c r="H1050" t="s">
        <v>2297</v>
      </c>
    </row>
    <row r="1051" spans="1:8" ht="15" customHeight="1" x14ac:dyDescent="0.25">
      <c r="A1051" t="s">
        <v>2298</v>
      </c>
      <c r="B1051" t="s">
        <v>2299</v>
      </c>
      <c r="C1051" s="1">
        <v>46167</v>
      </c>
      <c r="D1051" s="5">
        <v>146.66999999999999</v>
      </c>
      <c r="E1051" t="s">
        <v>558</v>
      </c>
      <c r="F1051" t="s">
        <v>1049</v>
      </c>
      <c r="G1051" t="s">
        <v>264</v>
      </c>
      <c r="H1051" t="s">
        <v>2300</v>
      </c>
    </row>
    <row r="1052" spans="1:8" ht="15" customHeight="1" x14ac:dyDescent="0.25">
      <c r="A1052" t="s">
        <v>2301</v>
      </c>
      <c r="B1052" t="s">
        <v>2302</v>
      </c>
      <c r="C1052" s="1">
        <v>46166</v>
      </c>
      <c r="D1052" s="5">
        <v>20.8</v>
      </c>
      <c r="E1052" t="s">
        <v>558</v>
      </c>
      <c r="F1052" t="s">
        <v>1049</v>
      </c>
      <c r="G1052" t="s">
        <v>255</v>
      </c>
      <c r="H1052" t="s">
        <v>2303</v>
      </c>
    </row>
    <row r="1053" spans="1:8" ht="15" customHeight="1" x14ac:dyDescent="0.25">
      <c r="A1053" t="s">
        <v>1295</v>
      </c>
      <c r="B1053" t="s">
        <v>1296</v>
      </c>
      <c r="C1053" s="1">
        <v>46167</v>
      </c>
      <c r="D1053" s="5">
        <v>7.72</v>
      </c>
      <c r="E1053" t="s">
        <v>558</v>
      </c>
      <c r="F1053" t="s">
        <v>1049</v>
      </c>
      <c r="G1053" t="s">
        <v>124</v>
      </c>
      <c r="H1053" t="s">
        <v>2304</v>
      </c>
    </row>
    <row r="1054" spans="1:8" ht="15" customHeight="1" x14ac:dyDescent="0.25">
      <c r="A1054" t="s">
        <v>2305</v>
      </c>
      <c r="B1054" t="s">
        <v>2306</v>
      </c>
      <c r="C1054" s="1">
        <v>46166</v>
      </c>
      <c r="D1054" s="5">
        <v>41.6</v>
      </c>
      <c r="E1054" t="s">
        <v>558</v>
      </c>
      <c r="F1054" t="s">
        <v>1049</v>
      </c>
      <c r="G1054" t="s">
        <v>2307</v>
      </c>
      <c r="H1054" t="s">
        <v>2308</v>
      </c>
    </row>
    <row r="1055" spans="1:8" ht="15" customHeight="1" x14ac:dyDescent="0.25">
      <c r="A1055" t="s">
        <v>2053</v>
      </c>
      <c r="B1055" t="s">
        <v>2054</v>
      </c>
      <c r="C1055" s="1">
        <v>46166</v>
      </c>
      <c r="D1055" s="5">
        <v>20.8</v>
      </c>
      <c r="E1055" t="s">
        <v>558</v>
      </c>
      <c r="F1055" t="s">
        <v>1049</v>
      </c>
      <c r="G1055" t="s">
        <v>264</v>
      </c>
      <c r="H1055" t="s">
        <v>2309</v>
      </c>
    </row>
    <row r="1056" spans="1:8" ht="15" customHeight="1" x14ac:dyDescent="0.25">
      <c r="A1056" t="s">
        <v>2310</v>
      </c>
      <c r="B1056" t="s">
        <v>2311</v>
      </c>
      <c r="C1056" s="1">
        <v>46167</v>
      </c>
      <c r="D1056" s="5">
        <v>3.68</v>
      </c>
      <c r="E1056" t="s">
        <v>558</v>
      </c>
      <c r="F1056" t="s">
        <v>1049</v>
      </c>
      <c r="G1056" t="s">
        <v>264</v>
      </c>
      <c r="H1056" t="s">
        <v>2312</v>
      </c>
    </row>
    <row r="1057" spans="1:8" ht="15" customHeight="1" x14ac:dyDescent="0.25">
      <c r="A1057" t="s">
        <v>1709</v>
      </c>
      <c r="B1057" t="s">
        <v>1710</v>
      </c>
      <c r="C1057" s="1">
        <v>46167</v>
      </c>
      <c r="D1057" s="5">
        <v>3</v>
      </c>
      <c r="E1057" t="s">
        <v>558</v>
      </c>
      <c r="F1057" t="s">
        <v>1049</v>
      </c>
      <c r="G1057" t="s">
        <v>124</v>
      </c>
      <c r="H1057" t="s">
        <v>2313</v>
      </c>
    </row>
    <row r="1058" spans="1:8" ht="15" customHeight="1" x14ac:dyDescent="0.25">
      <c r="A1058" t="s">
        <v>2036</v>
      </c>
      <c r="B1058" t="s">
        <v>1791</v>
      </c>
      <c r="C1058" s="1">
        <v>46167</v>
      </c>
      <c r="D1058" s="5">
        <v>31.2</v>
      </c>
      <c r="E1058" t="s">
        <v>558</v>
      </c>
      <c r="F1058" t="s">
        <v>1049</v>
      </c>
      <c r="G1058" t="s">
        <v>124</v>
      </c>
      <c r="H1058" t="s">
        <v>2314</v>
      </c>
    </row>
    <row r="1059" spans="1:8" ht="15" customHeight="1" x14ac:dyDescent="0.25">
      <c r="A1059" t="s">
        <v>2315</v>
      </c>
      <c r="B1059" t="s">
        <v>2316</v>
      </c>
      <c r="C1059" s="1">
        <v>46167</v>
      </c>
      <c r="D1059" s="5">
        <f>17.4*3</f>
        <v>52.199999999999996</v>
      </c>
      <c r="E1059" t="s">
        <v>558</v>
      </c>
      <c r="F1059" t="s">
        <v>1049</v>
      </c>
      <c r="G1059" t="s">
        <v>117</v>
      </c>
      <c r="H1059" t="s">
        <v>2317</v>
      </c>
    </row>
    <row r="1060" spans="1:8" ht="15" customHeight="1" x14ac:dyDescent="0.25">
      <c r="A1060" t="s">
        <v>2318</v>
      </c>
      <c r="B1060" t="s">
        <v>2319</v>
      </c>
      <c r="C1060" s="1">
        <v>46167</v>
      </c>
      <c r="D1060" s="5">
        <f>12.84*2+120.99</f>
        <v>146.66999999999999</v>
      </c>
      <c r="E1060" t="s">
        <v>558</v>
      </c>
      <c r="F1060" t="s">
        <v>1049</v>
      </c>
      <c r="G1060" t="s">
        <v>128</v>
      </c>
      <c r="H1060" t="s">
        <v>2320</v>
      </c>
    </row>
    <row r="1061" spans="1:8" ht="15" customHeight="1" x14ac:dyDescent="0.25">
      <c r="A1061" t="s">
        <v>2318</v>
      </c>
      <c r="B1061" t="s">
        <v>2319</v>
      </c>
      <c r="C1061" s="1">
        <v>46167</v>
      </c>
      <c r="D1061" s="5">
        <v>150.6</v>
      </c>
      <c r="E1061" t="s">
        <v>558</v>
      </c>
      <c r="F1061" t="s">
        <v>1049</v>
      </c>
      <c r="G1061" t="s">
        <v>128</v>
      </c>
      <c r="H1061" t="s">
        <v>2321</v>
      </c>
    </row>
    <row r="1062" spans="1:8" ht="15" customHeight="1" x14ac:dyDescent="0.25">
      <c r="A1062" t="s">
        <v>2322</v>
      </c>
      <c r="B1062" t="s">
        <v>2323</v>
      </c>
      <c r="C1062" s="1">
        <v>46167</v>
      </c>
      <c r="D1062" s="5">
        <f>22.41*5</f>
        <v>112.05</v>
      </c>
      <c r="E1062" t="s">
        <v>558</v>
      </c>
      <c r="F1062" t="s">
        <v>1049</v>
      </c>
      <c r="G1062" t="s">
        <v>183</v>
      </c>
      <c r="H1062" t="s">
        <v>2324</v>
      </c>
    </row>
    <row r="1063" spans="1:8" ht="15" customHeight="1" x14ac:dyDescent="0.25">
      <c r="A1063" t="s">
        <v>2325</v>
      </c>
      <c r="B1063" t="s">
        <v>2326</v>
      </c>
      <c r="C1063" s="1">
        <v>46167</v>
      </c>
      <c r="D1063" s="5">
        <v>31.2</v>
      </c>
      <c r="E1063" t="s">
        <v>558</v>
      </c>
      <c r="F1063" t="s">
        <v>1049</v>
      </c>
      <c r="G1063" t="s">
        <v>124</v>
      </c>
      <c r="H1063" t="s">
        <v>2327</v>
      </c>
    </row>
    <row r="1064" spans="1:8" ht="15" customHeight="1" x14ac:dyDescent="0.25">
      <c r="A1064" t="s">
        <v>583</v>
      </c>
      <c r="B1064" t="s">
        <v>584</v>
      </c>
      <c r="C1064" s="1">
        <v>46167</v>
      </c>
      <c r="D1064" s="5">
        <v>31.2</v>
      </c>
      <c r="E1064" t="s">
        <v>558</v>
      </c>
      <c r="F1064" t="s">
        <v>1049</v>
      </c>
      <c r="G1064" t="s">
        <v>124</v>
      </c>
      <c r="H1064" t="s">
        <v>2328</v>
      </c>
    </row>
    <row r="1065" spans="1:8" ht="15" customHeight="1" x14ac:dyDescent="0.25">
      <c r="A1065" t="s">
        <v>2329</v>
      </c>
      <c r="B1065" t="s">
        <v>2330</v>
      </c>
      <c r="C1065" s="1">
        <v>46167</v>
      </c>
      <c r="D1065" s="5">
        <v>141.79</v>
      </c>
      <c r="E1065" t="s">
        <v>558</v>
      </c>
      <c r="F1065" t="s">
        <v>1049</v>
      </c>
      <c r="G1065" t="s">
        <v>124</v>
      </c>
      <c r="H1065" t="s">
        <v>2331</v>
      </c>
    </row>
    <row r="1066" spans="1:8" ht="15" customHeight="1" x14ac:dyDescent="0.25">
      <c r="A1066" t="s">
        <v>2332</v>
      </c>
      <c r="B1066" t="s">
        <v>2333</v>
      </c>
      <c r="C1066" s="1">
        <v>46167</v>
      </c>
      <c r="D1066" s="5">
        <v>52.2</v>
      </c>
      <c r="E1066" t="s">
        <v>558</v>
      </c>
      <c r="F1066" t="s">
        <v>1049</v>
      </c>
      <c r="G1066" t="s">
        <v>117</v>
      </c>
      <c r="H1066" t="s">
        <v>2334</v>
      </c>
    </row>
    <row r="1067" spans="1:8" ht="15" customHeight="1" x14ac:dyDescent="0.25">
      <c r="A1067" t="s">
        <v>1491</v>
      </c>
      <c r="B1067" t="s">
        <v>1492</v>
      </c>
      <c r="C1067" s="1">
        <v>46167</v>
      </c>
      <c r="D1067" s="5">
        <v>5.52</v>
      </c>
      <c r="E1067" t="s">
        <v>558</v>
      </c>
      <c r="F1067" t="s">
        <v>1049</v>
      </c>
      <c r="G1067" t="s">
        <v>260</v>
      </c>
      <c r="H1067" t="s">
        <v>2335</v>
      </c>
    </row>
    <row r="1068" spans="1:8" ht="15" customHeight="1" x14ac:dyDescent="0.25">
      <c r="A1068" t="s">
        <v>162</v>
      </c>
      <c r="B1068" t="s">
        <v>163</v>
      </c>
      <c r="C1068" s="1">
        <v>46167</v>
      </c>
      <c r="D1068" s="5">
        <v>26</v>
      </c>
      <c r="E1068" t="s">
        <v>558</v>
      </c>
      <c r="F1068" t="s">
        <v>1049</v>
      </c>
      <c r="G1068" t="s">
        <v>128</v>
      </c>
      <c r="H1068" t="s">
        <v>2336</v>
      </c>
    </row>
    <row r="1069" spans="1:8" ht="15" customHeight="1" x14ac:dyDescent="0.25">
      <c r="A1069" t="s">
        <v>1700</v>
      </c>
      <c r="B1069" t="s">
        <v>1701</v>
      </c>
      <c r="C1069" s="1">
        <v>46167</v>
      </c>
      <c r="D1069" s="5">
        <v>3.68</v>
      </c>
      <c r="E1069" t="s">
        <v>558</v>
      </c>
      <c r="F1069" t="s">
        <v>1049</v>
      </c>
      <c r="G1069" t="s">
        <v>264</v>
      </c>
      <c r="H1069" t="s">
        <v>2337</v>
      </c>
    </row>
    <row r="1070" spans="1:8" ht="15" customHeight="1" x14ac:dyDescent="0.25">
      <c r="A1070" t="s">
        <v>2338</v>
      </c>
      <c r="B1070" t="s">
        <v>2339</v>
      </c>
      <c r="C1070" s="1">
        <v>46167</v>
      </c>
      <c r="D1070" s="5">
        <v>38.520000000000003</v>
      </c>
      <c r="E1070" t="s">
        <v>558</v>
      </c>
      <c r="F1070" t="s">
        <v>1049</v>
      </c>
      <c r="G1070" t="s">
        <v>260</v>
      </c>
      <c r="H1070" t="s">
        <v>2340</v>
      </c>
    </row>
    <row r="1071" spans="1:8" ht="15" customHeight="1" x14ac:dyDescent="0.25">
      <c r="A1071" t="s">
        <v>2341</v>
      </c>
      <c r="B1071" t="s">
        <v>2342</v>
      </c>
      <c r="C1071" s="1">
        <v>46167</v>
      </c>
      <c r="D1071" s="5">
        <v>31.2</v>
      </c>
      <c r="E1071" t="s">
        <v>558</v>
      </c>
      <c r="F1071" t="s">
        <v>1049</v>
      </c>
      <c r="G1071" t="s">
        <v>657</v>
      </c>
      <c r="H1071" t="s">
        <v>2343</v>
      </c>
    </row>
    <row r="1072" spans="1:8" ht="15" customHeight="1" x14ac:dyDescent="0.25">
      <c r="A1072" t="s">
        <v>2028</v>
      </c>
      <c r="B1072" t="s">
        <v>2029</v>
      </c>
      <c r="C1072" s="1">
        <v>46167</v>
      </c>
      <c r="D1072" s="5">
        <v>3.68</v>
      </c>
      <c r="E1072" t="s">
        <v>558</v>
      </c>
      <c r="F1072" t="s">
        <v>1049</v>
      </c>
      <c r="G1072" t="s">
        <v>260</v>
      </c>
      <c r="H1072" t="s">
        <v>2344</v>
      </c>
    </row>
    <row r="1073" spans="1:8" ht="15" customHeight="1" x14ac:dyDescent="0.25">
      <c r="A1073" t="s">
        <v>1812</v>
      </c>
      <c r="B1073" t="s">
        <v>1813</v>
      </c>
      <c r="C1073" s="1">
        <v>46167</v>
      </c>
      <c r="D1073" s="5">
        <v>3</v>
      </c>
      <c r="E1073" t="s">
        <v>558</v>
      </c>
      <c r="F1073" t="s">
        <v>1049</v>
      </c>
      <c r="G1073" t="s">
        <v>117</v>
      </c>
      <c r="H1073" t="s">
        <v>2345</v>
      </c>
    </row>
    <row r="1074" spans="1:8" ht="15" customHeight="1" x14ac:dyDescent="0.25">
      <c r="A1074" t="s">
        <v>1677</v>
      </c>
      <c r="B1074" t="s">
        <v>1678</v>
      </c>
      <c r="C1074" s="1">
        <v>46167</v>
      </c>
      <c r="D1074" s="5">
        <f>1.84*2</f>
        <v>3.68</v>
      </c>
      <c r="E1074" t="s">
        <v>558</v>
      </c>
      <c r="F1074" t="s">
        <v>1049</v>
      </c>
      <c r="G1074" t="s">
        <v>468</v>
      </c>
      <c r="H1074" t="s">
        <v>2346</v>
      </c>
    </row>
    <row r="1075" spans="1:8" ht="15" customHeight="1" x14ac:dyDescent="0.25">
      <c r="A1075" t="s">
        <v>1090</v>
      </c>
      <c r="B1075" t="s">
        <v>1091</v>
      </c>
      <c r="C1075" s="1">
        <v>46167</v>
      </c>
      <c r="D1075" s="5">
        <v>25.68</v>
      </c>
      <c r="E1075" t="s">
        <v>558</v>
      </c>
      <c r="F1075" t="s">
        <v>1049</v>
      </c>
      <c r="G1075" t="s">
        <v>369</v>
      </c>
      <c r="H1075" t="s">
        <v>2347</v>
      </c>
    </row>
    <row r="1076" spans="1:8" ht="15" customHeight="1" x14ac:dyDescent="0.25">
      <c r="A1076" t="s">
        <v>1043</v>
      </c>
      <c r="B1076" t="s">
        <v>1044</v>
      </c>
      <c r="C1076" s="1">
        <v>46167</v>
      </c>
      <c r="D1076" s="5">
        <v>122.83</v>
      </c>
      <c r="E1076" t="s">
        <v>558</v>
      </c>
      <c r="F1076" t="s">
        <v>1049</v>
      </c>
      <c r="G1076" t="s">
        <v>369</v>
      </c>
      <c r="H1076" t="s">
        <v>2348</v>
      </c>
    </row>
    <row r="1077" spans="1:8" ht="15" customHeight="1" x14ac:dyDescent="0.25">
      <c r="A1077" t="s">
        <v>2349</v>
      </c>
      <c r="B1077" t="s">
        <v>2350</v>
      </c>
      <c r="C1077" s="1">
        <v>46167</v>
      </c>
      <c r="D1077" s="5">
        <v>122.83</v>
      </c>
      <c r="E1077" t="s">
        <v>558</v>
      </c>
      <c r="F1077" t="s">
        <v>1049</v>
      </c>
      <c r="G1077" t="s">
        <v>369</v>
      </c>
      <c r="H1077" t="s">
        <v>2351</v>
      </c>
    </row>
    <row r="1078" spans="1:8" ht="15" customHeight="1" x14ac:dyDescent="0.25">
      <c r="A1078" t="s">
        <v>2352</v>
      </c>
      <c r="B1078" t="s">
        <v>2353</v>
      </c>
      <c r="C1078" s="1">
        <v>46167</v>
      </c>
      <c r="D1078" s="5">
        <v>34.799999999999997</v>
      </c>
      <c r="E1078" t="s">
        <v>558</v>
      </c>
      <c r="F1078" t="s">
        <v>1049</v>
      </c>
      <c r="G1078" t="s">
        <v>117</v>
      </c>
      <c r="H1078" t="s">
        <v>2354</v>
      </c>
    </row>
    <row r="1079" spans="1:8" ht="15" customHeight="1" x14ac:dyDescent="0.25">
      <c r="A1079" t="s">
        <v>2355</v>
      </c>
      <c r="B1079" t="s">
        <v>2356</v>
      </c>
      <c r="C1079" s="1">
        <v>46167</v>
      </c>
      <c r="D1079" s="5">
        <v>122.83</v>
      </c>
      <c r="E1079" t="s">
        <v>558</v>
      </c>
      <c r="F1079" t="s">
        <v>1049</v>
      </c>
      <c r="G1079" t="s">
        <v>369</v>
      </c>
      <c r="H1079" t="s">
        <v>2357</v>
      </c>
    </row>
    <row r="1080" spans="1:8" ht="15" customHeight="1" x14ac:dyDescent="0.25">
      <c r="A1080" t="s">
        <v>2358</v>
      </c>
      <c r="B1080" t="s">
        <v>2359</v>
      </c>
      <c r="C1080" s="1">
        <v>46167</v>
      </c>
      <c r="D1080" s="5">
        <v>122.83</v>
      </c>
      <c r="E1080" t="s">
        <v>558</v>
      </c>
      <c r="F1080" t="s">
        <v>1049</v>
      </c>
      <c r="G1080" t="s">
        <v>369</v>
      </c>
      <c r="H1080" t="s">
        <v>2360</v>
      </c>
    </row>
    <row r="1081" spans="1:8" ht="15" customHeight="1" x14ac:dyDescent="0.25">
      <c r="A1081" t="s">
        <v>2361</v>
      </c>
      <c r="B1081" t="s">
        <v>2362</v>
      </c>
      <c r="C1081" s="1">
        <v>46168</v>
      </c>
      <c r="D1081" s="5">
        <v>26</v>
      </c>
      <c r="E1081" t="s">
        <v>558</v>
      </c>
      <c r="F1081" t="s">
        <v>1049</v>
      </c>
      <c r="G1081" t="s">
        <v>128</v>
      </c>
      <c r="H1081" t="s">
        <v>2363</v>
      </c>
    </row>
    <row r="1082" spans="1:8" ht="15" customHeight="1" x14ac:dyDescent="0.25">
      <c r="A1082" t="s">
        <v>53</v>
      </c>
      <c r="B1082" t="s">
        <v>472</v>
      </c>
      <c r="C1082" s="1">
        <v>46168</v>
      </c>
      <c r="D1082" s="5">
        <v>69.599999999999994</v>
      </c>
      <c r="E1082" t="s">
        <v>558</v>
      </c>
      <c r="F1082" t="s">
        <v>1049</v>
      </c>
      <c r="G1082" t="s">
        <v>2120</v>
      </c>
      <c r="H1082" t="s">
        <v>2364</v>
      </c>
    </row>
    <row r="1083" spans="1:8" ht="15" customHeight="1" x14ac:dyDescent="0.25">
      <c r="A1083" t="s">
        <v>2365</v>
      </c>
      <c r="B1083" t="s">
        <v>2366</v>
      </c>
      <c r="C1083" s="1">
        <v>46168</v>
      </c>
      <c r="D1083" s="5">
        <v>26</v>
      </c>
      <c r="E1083" t="s">
        <v>558</v>
      </c>
      <c r="F1083" t="s">
        <v>1049</v>
      </c>
      <c r="G1083" t="s">
        <v>128</v>
      </c>
      <c r="H1083" t="s">
        <v>2367</v>
      </c>
    </row>
    <row r="1084" spans="1:8" ht="15" customHeight="1" x14ac:dyDescent="0.25">
      <c r="A1084" t="s">
        <v>2361</v>
      </c>
      <c r="B1084" t="s">
        <v>2362</v>
      </c>
      <c r="C1084" s="1">
        <v>46168</v>
      </c>
      <c r="D1084" s="5">
        <v>146.66999999999999</v>
      </c>
      <c r="E1084" t="s">
        <v>558</v>
      </c>
      <c r="F1084" t="s">
        <v>1049</v>
      </c>
      <c r="G1084" t="s">
        <v>128</v>
      </c>
      <c r="H1084" t="s">
        <v>2368</v>
      </c>
    </row>
    <row r="1085" spans="1:8" ht="15" customHeight="1" x14ac:dyDescent="0.25">
      <c r="A1085" t="s">
        <v>2369</v>
      </c>
      <c r="B1085" t="s">
        <v>2370</v>
      </c>
      <c r="C1085" s="1">
        <v>46168</v>
      </c>
      <c r="D1085" s="5">
        <v>31.2</v>
      </c>
      <c r="E1085" t="s">
        <v>558</v>
      </c>
      <c r="F1085" t="s">
        <v>1049</v>
      </c>
      <c r="G1085" t="s">
        <v>124</v>
      </c>
      <c r="H1085" t="s">
        <v>2371</v>
      </c>
    </row>
    <row r="1086" spans="1:8" ht="15" customHeight="1" x14ac:dyDescent="0.25">
      <c r="A1086" t="s">
        <v>1644</v>
      </c>
      <c r="B1086" t="s">
        <v>2372</v>
      </c>
      <c r="C1086" s="1">
        <v>46168</v>
      </c>
      <c r="D1086" s="5">
        <v>31.2</v>
      </c>
      <c r="E1086" t="s">
        <v>558</v>
      </c>
      <c r="F1086" t="s">
        <v>1049</v>
      </c>
      <c r="G1086" t="s">
        <v>124</v>
      </c>
      <c r="H1086" t="s">
        <v>2373</v>
      </c>
    </row>
    <row r="1087" spans="1:8" ht="15" customHeight="1" x14ac:dyDescent="0.25">
      <c r="A1087" t="s">
        <v>2374</v>
      </c>
      <c r="B1087" t="s">
        <v>2375</v>
      </c>
      <c r="C1087" s="1">
        <v>46168</v>
      </c>
      <c r="D1087" s="5">
        <v>25.68</v>
      </c>
      <c r="E1087" t="s">
        <v>558</v>
      </c>
      <c r="F1087" t="s">
        <v>1049</v>
      </c>
      <c r="G1087" t="s">
        <v>260</v>
      </c>
      <c r="H1087" t="s">
        <v>2376</v>
      </c>
    </row>
    <row r="1088" spans="1:8" ht="15" customHeight="1" x14ac:dyDescent="0.25">
      <c r="A1088" t="s">
        <v>237</v>
      </c>
      <c r="B1088" t="s">
        <v>238</v>
      </c>
      <c r="C1088" s="1">
        <v>46168</v>
      </c>
      <c r="D1088" s="5">
        <v>3.68</v>
      </c>
      <c r="E1088" t="s">
        <v>558</v>
      </c>
      <c r="F1088" t="s">
        <v>1049</v>
      </c>
      <c r="G1088" t="s">
        <v>369</v>
      </c>
      <c r="H1088" t="s">
        <v>2377</v>
      </c>
    </row>
    <row r="1089" spans="1:8" ht="15" customHeight="1" x14ac:dyDescent="0.25">
      <c r="A1089" t="s">
        <v>2378</v>
      </c>
      <c r="B1089" t="s">
        <v>2379</v>
      </c>
      <c r="C1089" s="1">
        <v>46168</v>
      </c>
      <c r="D1089" s="5">
        <v>36.57</v>
      </c>
      <c r="E1089" t="s">
        <v>558</v>
      </c>
      <c r="F1089" t="s">
        <v>1049</v>
      </c>
      <c r="G1089" t="s">
        <v>124</v>
      </c>
      <c r="H1089" t="s">
        <v>2380</v>
      </c>
    </row>
    <row r="1090" spans="1:8" ht="15" customHeight="1" x14ac:dyDescent="0.25">
      <c r="A1090" t="s">
        <v>415</v>
      </c>
      <c r="B1090" t="s">
        <v>416</v>
      </c>
      <c r="C1090" s="1">
        <v>46168</v>
      </c>
      <c r="D1090" s="5">
        <v>3.68</v>
      </c>
      <c r="E1090" t="s">
        <v>558</v>
      </c>
      <c r="F1090" t="s">
        <v>1049</v>
      </c>
      <c r="G1090" t="s">
        <v>1502</v>
      </c>
      <c r="H1090" t="s">
        <v>2381</v>
      </c>
    </row>
    <row r="1091" spans="1:8" ht="15" customHeight="1" x14ac:dyDescent="0.25">
      <c r="A1091" t="s">
        <v>146</v>
      </c>
      <c r="B1091" t="s">
        <v>147</v>
      </c>
      <c r="C1091" s="1">
        <v>46168</v>
      </c>
      <c r="D1091" s="5">
        <v>3.86</v>
      </c>
      <c r="E1091" t="s">
        <v>558</v>
      </c>
      <c r="F1091" t="s">
        <v>1049</v>
      </c>
      <c r="G1091" t="s">
        <v>148</v>
      </c>
      <c r="H1091" t="s">
        <v>2382</v>
      </c>
    </row>
    <row r="1092" spans="1:8" ht="15" customHeight="1" x14ac:dyDescent="0.25">
      <c r="A1092" t="s">
        <v>2383</v>
      </c>
      <c r="B1092" t="s">
        <v>2384</v>
      </c>
      <c r="C1092" s="1">
        <v>46168</v>
      </c>
      <c r="D1092" s="5">
        <v>52.2</v>
      </c>
      <c r="E1092" t="s">
        <v>558</v>
      </c>
      <c r="F1092" t="s">
        <v>1049</v>
      </c>
      <c r="G1092" t="s">
        <v>117</v>
      </c>
      <c r="H1092" t="s">
        <v>2385</v>
      </c>
    </row>
    <row r="1093" spans="1:8" ht="15" customHeight="1" x14ac:dyDescent="0.25">
      <c r="A1093" t="s">
        <v>171</v>
      </c>
      <c r="B1093" t="s">
        <v>172</v>
      </c>
      <c r="C1093" s="1">
        <v>46168</v>
      </c>
      <c r="D1093" s="5">
        <v>3.86</v>
      </c>
      <c r="E1093" t="s">
        <v>558</v>
      </c>
      <c r="F1093" t="s">
        <v>1049</v>
      </c>
      <c r="G1093" t="s">
        <v>148</v>
      </c>
      <c r="H1093" t="s">
        <v>2386</v>
      </c>
    </row>
    <row r="1094" spans="1:8" ht="15" customHeight="1" x14ac:dyDescent="0.25">
      <c r="A1094" t="s">
        <v>2214</v>
      </c>
      <c r="B1094" t="s">
        <v>2215</v>
      </c>
      <c r="C1094" s="1">
        <v>46168</v>
      </c>
      <c r="D1094" s="5">
        <v>34.299999999999997</v>
      </c>
      <c r="E1094" t="s">
        <v>558</v>
      </c>
      <c r="F1094" t="s">
        <v>1049</v>
      </c>
      <c r="G1094" t="s">
        <v>255</v>
      </c>
      <c r="H1094" t="s">
        <v>2387</v>
      </c>
    </row>
    <row r="1095" spans="1:8" ht="15" customHeight="1" x14ac:dyDescent="0.25">
      <c r="A1095" t="s">
        <v>493</v>
      </c>
      <c r="B1095" t="s">
        <v>494</v>
      </c>
      <c r="C1095" s="1">
        <v>46168</v>
      </c>
      <c r="D1095" s="5">
        <v>150.6</v>
      </c>
      <c r="E1095" t="s">
        <v>558</v>
      </c>
      <c r="F1095" t="s">
        <v>1049</v>
      </c>
      <c r="G1095" t="s">
        <v>128</v>
      </c>
      <c r="H1095" t="s">
        <v>2388</v>
      </c>
    </row>
    <row r="1096" spans="1:8" ht="15" customHeight="1" x14ac:dyDescent="0.25">
      <c r="A1096" t="s">
        <v>1269</v>
      </c>
      <c r="B1096" t="s">
        <v>1270</v>
      </c>
      <c r="C1096" s="1">
        <v>46168</v>
      </c>
      <c r="D1096" s="5">
        <v>52.2</v>
      </c>
      <c r="E1096" t="s">
        <v>558</v>
      </c>
      <c r="F1096" t="s">
        <v>1049</v>
      </c>
      <c r="G1096" t="s">
        <v>117</v>
      </c>
      <c r="H1096" t="s">
        <v>2389</v>
      </c>
    </row>
    <row r="1097" spans="1:8" ht="15" customHeight="1" x14ac:dyDescent="0.25">
      <c r="A1097" t="s">
        <v>82</v>
      </c>
      <c r="B1097" t="s">
        <v>83</v>
      </c>
      <c r="C1097" s="1">
        <v>46168</v>
      </c>
      <c r="D1097" s="5">
        <v>112.05</v>
      </c>
      <c r="E1097" t="s">
        <v>558</v>
      </c>
      <c r="F1097" t="s">
        <v>1049</v>
      </c>
      <c r="G1097" t="s">
        <v>1689</v>
      </c>
      <c r="H1097" t="s">
        <v>2390</v>
      </c>
    </row>
    <row r="1098" spans="1:8" ht="15" customHeight="1" x14ac:dyDescent="0.25">
      <c r="A1098" t="s">
        <v>981</v>
      </c>
      <c r="B1098" t="s">
        <v>982</v>
      </c>
      <c r="C1098" s="1">
        <v>46168</v>
      </c>
      <c r="D1098" s="5">
        <v>31.2</v>
      </c>
      <c r="E1098" t="s">
        <v>558</v>
      </c>
      <c r="F1098" t="s">
        <v>1049</v>
      </c>
      <c r="G1098" t="s">
        <v>124</v>
      </c>
      <c r="H1098" t="s">
        <v>2391</v>
      </c>
    </row>
    <row r="1099" spans="1:8" ht="15" customHeight="1" x14ac:dyDescent="0.25">
      <c r="A1099" t="s">
        <v>2392</v>
      </c>
      <c r="B1099" t="s">
        <v>2393</v>
      </c>
      <c r="C1099" s="1">
        <v>46168</v>
      </c>
      <c r="D1099" s="5">
        <v>141.79</v>
      </c>
      <c r="E1099" t="s">
        <v>558</v>
      </c>
      <c r="F1099" t="s">
        <v>1049</v>
      </c>
      <c r="G1099" t="s">
        <v>124</v>
      </c>
      <c r="H1099" t="s">
        <v>2394</v>
      </c>
    </row>
    <row r="1100" spans="1:8" ht="15" customHeight="1" x14ac:dyDescent="0.25">
      <c r="A1100" t="s">
        <v>1719</v>
      </c>
      <c r="B1100" t="s">
        <v>1720</v>
      </c>
      <c r="C1100" s="1">
        <v>46168</v>
      </c>
      <c r="D1100" s="5">
        <v>31.2</v>
      </c>
      <c r="E1100" t="s">
        <v>558</v>
      </c>
      <c r="F1100" t="s">
        <v>1049</v>
      </c>
      <c r="G1100" t="s">
        <v>314</v>
      </c>
      <c r="H1100" t="s">
        <v>2395</v>
      </c>
    </row>
    <row r="1101" spans="1:8" ht="15" customHeight="1" x14ac:dyDescent="0.25">
      <c r="A1101" t="s">
        <v>2396</v>
      </c>
      <c r="B1101" t="s">
        <v>2397</v>
      </c>
      <c r="C1101" s="1">
        <v>46168</v>
      </c>
      <c r="D1101" s="5">
        <v>31.2</v>
      </c>
      <c r="E1101" t="s">
        <v>558</v>
      </c>
      <c r="F1101" t="s">
        <v>1049</v>
      </c>
      <c r="G1101" t="s">
        <v>124</v>
      </c>
      <c r="H1101" t="s">
        <v>2398</v>
      </c>
    </row>
    <row r="1102" spans="1:8" ht="15" customHeight="1" x14ac:dyDescent="0.25">
      <c r="A1102" t="s">
        <v>924</v>
      </c>
      <c r="B1102" t="s">
        <v>925</v>
      </c>
      <c r="C1102" s="1">
        <v>46168</v>
      </c>
      <c r="D1102" s="5">
        <v>3.86</v>
      </c>
      <c r="E1102" t="s">
        <v>558</v>
      </c>
      <c r="F1102" t="s">
        <v>1049</v>
      </c>
      <c r="G1102" t="s">
        <v>1689</v>
      </c>
      <c r="H1102" t="s">
        <v>2399</v>
      </c>
    </row>
    <row r="1103" spans="1:8" ht="15" customHeight="1" x14ac:dyDescent="0.25">
      <c r="A1103" t="s">
        <v>710</v>
      </c>
      <c r="B1103" t="s">
        <v>711</v>
      </c>
      <c r="C1103" s="1">
        <v>46168</v>
      </c>
      <c r="D1103" s="5">
        <v>25.68</v>
      </c>
      <c r="E1103" t="s">
        <v>558</v>
      </c>
      <c r="F1103" t="s">
        <v>1049</v>
      </c>
      <c r="G1103" t="s">
        <v>264</v>
      </c>
      <c r="H1103" t="s">
        <v>2400</v>
      </c>
    </row>
    <row r="1104" spans="1:8" ht="15" customHeight="1" x14ac:dyDescent="0.25">
      <c r="A1104" t="s">
        <v>1441</v>
      </c>
      <c r="B1104" t="s">
        <v>1442</v>
      </c>
      <c r="C1104" s="1">
        <v>46168</v>
      </c>
      <c r="D1104" s="5">
        <v>5.52</v>
      </c>
      <c r="E1104" t="s">
        <v>558</v>
      </c>
      <c r="F1104" t="s">
        <v>1049</v>
      </c>
      <c r="G1104" t="s">
        <v>260</v>
      </c>
      <c r="H1104" t="s">
        <v>2401</v>
      </c>
    </row>
    <row r="1105" spans="1:8" ht="15" customHeight="1" x14ac:dyDescent="0.25">
      <c r="A1105" t="s">
        <v>2402</v>
      </c>
      <c r="B1105" t="s">
        <v>2403</v>
      </c>
      <c r="C1105" s="1">
        <v>46169</v>
      </c>
      <c r="D1105" s="5">
        <v>141.79</v>
      </c>
      <c r="E1105" t="s">
        <v>558</v>
      </c>
      <c r="F1105" t="s">
        <v>1049</v>
      </c>
      <c r="G1105" t="s">
        <v>124</v>
      </c>
      <c r="H1105" t="s">
        <v>2404</v>
      </c>
    </row>
    <row r="1106" spans="1:8" ht="15" customHeight="1" x14ac:dyDescent="0.25">
      <c r="A1106" t="s">
        <v>1386</v>
      </c>
      <c r="B1106" t="s">
        <v>1387</v>
      </c>
      <c r="C1106" s="1">
        <v>46169</v>
      </c>
      <c r="D1106" s="5">
        <v>3.86</v>
      </c>
      <c r="E1106" t="s">
        <v>558</v>
      </c>
      <c r="F1106" t="s">
        <v>1049</v>
      </c>
      <c r="G1106" s="3" t="s">
        <v>1689</v>
      </c>
      <c r="H1106" t="s">
        <v>2405</v>
      </c>
    </row>
    <row r="1107" spans="1:8" ht="15" customHeight="1" x14ac:dyDescent="0.25">
      <c r="A1107" t="s">
        <v>1586</v>
      </c>
      <c r="B1107" t="s">
        <v>1587</v>
      </c>
      <c r="C1107" s="1">
        <v>46169</v>
      </c>
      <c r="D1107" s="5">
        <v>3.86</v>
      </c>
      <c r="E1107" t="s">
        <v>558</v>
      </c>
      <c r="F1107" t="s">
        <v>1049</v>
      </c>
      <c r="G1107" s="3" t="s">
        <v>1689</v>
      </c>
      <c r="H1107" t="s">
        <v>2406</v>
      </c>
    </row>
    <row r="1108" spans="1:8" ht="15" customHeight="1" x14ac:dyDescent="0.25">
      <c r="A1108" t="s">
        <v>1239</v>
      </c>
      <c r="B1108" t="s">
        <v>1240</v>
      </c>
      <c r="C1108" s="1">
        <v>46169</v>
      </c>
      <c r="D1108" s="5">
        <v>26</v>
      </c>
      <c r="E1108" t="s">
        <v>558</v>
      </c>
      <c r="F1108" t="s">
        <v>1049</v>
      </c>
      <c r="G1108" t="s">
        <v>128</v>
      </c>
      <c r="H1108" t="s">
        <v>2407</v>
      </c>
    </row>
    <row r="1109" spans="1:8" ht="15" customHeight="1" x14ac:dyDescent="0.25">
      <c r="A1109" t="s">
        <v>562</v>
      </c>
      <c r="B1109" t="s">
        <v>563</v>
      </c>
      <c r="C1109" s="1">
        <v>46169</v>
      </c>
      <c r="D1109" s="5">
        <v>26</v>
      </c>
      <c r="E1109" t="s">
        <v>558</v>
      </c>
      <c r="F1109" t="s">
        <v>1049</v>
      </c>
      <c r="G1109" t="s">
        <v>128</v>
      </c>
      <c r="H1109" t="s">
        <v>2408</v>
      </c>
    </row>
    <row r="1110" spans="1:8" ht="15" customHeight="1" x14ac:dyDescent="0.25">
      <c r="A1110" t="s">
        <v>435</v>
      </c>
      <c r="B1110" t="s">
        <v>436</v>
      </c>
      <c r="C1110" s="1">
        <v>46169</v>
      </c>
      <c r="D1110" s="5">
        <v>3</v>
      </c>
      <c r="E1110" t="s">
        <v>558</v>
      </c>
      <c r="F1110" t="s">
        <v>1049</v>
      </c>
      <c r="G1110" t="s">
        <v>117</v>
      </c>
      <c r="H1110" t="s">
        <v>2409</v>
      </c>
    </row>
    <row r="1111" spans="1:8" ht="15" customHeight="1" x14ac:dyDescent="0.25">
      <c r="A1111" t="s">
        <v>1516</v>
      </c>
      <c r="B1111" t="s">
        <v>1517</v>
      </c>
      <c r="C1111" s="1">
        <v>46169</v>
      </c>
      <c r="D1111" s="5">
        <v>3</v>
      </c>
      <c r="E1111" t="s">
        <v>558</v>
      </c>
      <c r="F1111" t="s">
        <v>1049</v>
      </c>
      <c r="G1111" t="s">
        <v>117</v>
      </c>
      <c r="H1111" t="s">
        <v>2410</v>
      </c>
    </row>
    <row r="1112" spans="1:8" ht="15" customHeight="1" x14ac:dyDescent="0.25">
      <c r="A1112" t="s">
        <v>1824</v>
      </c>
      <c r="B1112" t="s">
        <v>1825</v>
      </c>
      <c r="C1112" s="1">
        <v>46169</v>
      </c>
      <c r="D1112" s="5">
        <v>5.52</v>
      </c>
      <c r="E1112" t="s">
        <v>558</v>
      </c>
      <c r="F1112" t="s">
        <v>1049</v>
      </c>
      <c r="G1112" t="s">
        <v>135</v>
      </c>
      <c r="H1112" t="s">
        <v>2411</v>
      </c>
    </row>
    <row r="1113" spans="1:8" ht="15" customHeight="1" x14ac:dyDescent="0.25">
      <c r="A1113" t="s">
        <v>924</v>
      </c>
      <c r="B1113" t="s">
        <v>925</v>
      </c>
      <c r="C1113" s="1">
        <v>46169</v>
      </c>
      <c r="D1113" s="5">
        <v>3.86</v>
      </c>
      <c r="E1113" t="s">
        <v>558</v>
      </c>
      <c r="F1113" t="s">
        <v>1049</v>
      </c>
      <c r="G1113" t="s">
        <v>1689</v>
      </c>
      <c r="H1113" t="s">
        <v>2412</v>
      </c>
    </row>
    <row r="1114" spans="1:8" ht="15" customHeight="1" x14ac:dyDescent="0.25">
      <c r="A1114" t="s">
        <v>2413</v>
      </c>
      <c r="B1114" t="s">
        <v>2414</v>
      </c>
      <c r="C1114" s="1">
        <v>46169</v>
      </c>
      <c r="D1114" s="5">
        <v>38.520000000000003</v>
      </c>
      <c r="E1114" t="s">
        <v>558</v>
      </c>
      <c r="F1114" t="s">
        <v>1049</v>
      </c>
      <c r="G1114" t="s">
        <v>128</v>
      </c>
      <c r="H1114" t="s">
        <v>2415</v>
      </c>
    </row>
    <row r="1115" spans="1:8" ht="15" customHeight="1" x14ac:dyDescent="0.25">
      <c r="A1115" t="s">
        <v>1516</v>
      </c>
      <c r="B1115" t="s">
        <v>1517</v>
      </c>
      <c r="C1115" s="1">
        <v>46169</v>
      </c>
      <c r="D1115" s="5">
        <v>52.2</v>
      </c>
      <c r="E1115" t="s">
        <v>558</v>
      </c>
      <c r="F1115" t="s">
        <v>1049</v>
      </c>
      <c r="G1115" t="s">
        <v>117</v>
      </c>
      <c r="H1115" t="s">
        <v>2416</v>
      </c>
    </row>
    <row r="1116" spans="1:8" ht="15" customHeight="1" x14ac:dyDescent="0.25">
      <c r="A1116" t="s">
        <v>579</v>
      </c>
      <c r="B1116" t="s">
        <v>580</v>
      </c>
      <c r="C1116" s="1">
        <v>46169</v>
      </c>
      <c r="D1116" s="5">
        <v>26</v>
      </c>
      <c r="E1116" t="s">
        <v>558</v>
      </c>
      <c r="F1116" t="s">
        <v>1049</v>
      </c>
      <c r="G1116" t="s">
        <v>128</v>
      </c>
      <c r="H1116" t="s">
        <v>2417</v>
      </c>
    </row>
    <row r="1117" spans="1:8" ht="15" customHeight="1" x14ac:dyDescent="0.25">
      <c r="A1117" t="s">
        <v>1484</v>
      </c>
      <c r="B1117" t="s">
        <v>1485</v>
      </c>
      <c r="C1117" s="1">
        <v>46169</v>
      </c>
      <c r="D1117" s="5">
        <v>5.52</v>
      </c>
      <c r="E1117" t="s">
        <v>558</v>
      </c>
      <c r="F1117" t="s">
        <v>1049</v>
      </c>
      <c r="G1117" t="s">
        <v>135</v>
      </c>
      <c r="H1117" t="s">
        <v>2418</v>
      </c>
    </row>
    <row r="1118" spans="1:8" ht="15" customHeight="1" x14ac:dyDescent="0.25">
      <c r="A1118" t="s">
        <v>1790</v>
      </c>
      <c r="B1118" t="s">
        <v>1791</v>
      </c>
      <c r="C1118" s="1">
        <v>46169</v>
      </c>
      <c r="D1118" s="5">
        <v>52.2</v>
      </c>
      <c r="E1118" t="s">
        <v>558</v>
      </c>
      <c r="F1118" t="s">
        <v>1049</v>
      </c>
      <c r="G1118" t="s">
        <v>117</v>
      </c>
      <c r="H1118" t="s">
        <v>2419</v>
      </c>
    </row>
    <row r="1119" spans="1:8" ht="15" customHeight="1" x14ac:dyDescent="0.25">
      <c r="A1119" t="s">
        <v>1560</v>
      </c>
      <c r="B1119" t="s">
        <v>1561</v>
      </c>
      <c r="C1119" s="1">
        <v>46169</v>
      </c>
      <c r="D1119" s="5">
        <v>3.68</v>
      </c>
      <c r="E1119" t="s">
        <v>558</v>
      </c>
      <c r="F1119" t="s">
        <v>1049</v>
      </c>
      <c r="G1119" t="s">
        <v>264</v>
      </c>
      <c r="H1119" t="s">
        <v>2420</v>
      </c>
    </row>
    <row r="1120" spans="1:8" ht="15" customHeight="1" x14ac:dyDescent="0.25">
      <c r="A1120" t="s">
        <v>2421</v>
      </c>
      <c r="B1120" t="s">
        <v>2422</v>
      </c>
      <c r="C1120" s="1">
        <v>46169</v>
      </c>
      <c r="D1120" s="5">
        <v>146.66999999999999</v>
      </c>
      <c r="E1120" t="s">
        <v>558</v>
      </c>
      <c r="F1120" t="s">
        <v>1049</v>
      </c>
      <c r="G1120" t="s">
        <v>222</v>
      </c>
      <c r="H1120" t="s">
        <v>2423</v>
      </c>
    </row>
    <row r="1121" spans="1:8" ht="15" customHeight="1" x14ac:dyDescent="0.25">
      <c r="A1121" t="s">
        <v>2424</v>
      </c>
      <c r="B1121" t="s">
        <v>2425</v>
      </c>
      <c r="C1121" s="1">
        <v>46169</v>
      </c>
      <c r="D1121" s="5">
        <v>159.51</v>
      </c>
      <c r="E1121" t="s">
        <v>558</v>
      </c>
      <c r="F1121" t="s">
        <v>1049</v>
      </c>
      <c r="G1121" t="s">
        <v>128</v>
      </c>
      <c r="H1121" t="s">
        <v>2426</v>
      </c>
    </row>
    <row r="1122" spans="1:8" ht="15" customHeight="1" x14ac:dyDescent="0.25">
      <c r="A1122" t="s">
        <v>2427</v>
      </c>
      <c r="B1122" t="s">
        <v>2428</v>
      </c>
      <c r="C1122" s="1">
        <v>46169</v>
      </c>
      <c r="D1122" s="5">
        <v>25.68</v>
      </c>
      <c r="E1122" t="s">
        <v>558</v>
      </c>
      <c r="F1122" t="s">
        <v>1049</v>
      </c>
      <c r="G1122" t="s">
        <v>239</v>
      </c>
      <c r="H1122" t="s">
        <v>2429</v>
      </c>
    </row>
    <row r="1123" spans="1:8" ht="15" customHeight="1" x14ac:dyDescent="0.25">
      <c r="A1123" t="s">
        <v>2430</v>
      </c>
      <c r="B1123" t="s">
        <v>2431</v>
      </c>
      <c r="C1123" s="1">
        <v>46169</v>
      </c>
      <c r="D1123" s="5">
        <v>25.68</v>
      </c>
      <c r="E1123" t="s">
        <v>558</v>
      </c>
      <c r="F1123" t="s">
        <v>1049</v>
      </c>
      <c r="G1123" t="s">
        <v>128</v>
      </c>
      <c r="H1123" t="s">
        <v>2432</v>
      </c>
    </row>
    <row r="1124" spans="1:8" ht="15" customHeight="1" x14ac:dyDescent="0.25">
      <c r="A1124" t="s">
        <v>2433</v>
      </c>
      <c r="B1124" t="s">
        <v>2434</v>
      </c>
      <c r="C1124" s="1">
        <v>46169</v>
      </c>
      <c r="D1124" s="5">
        <v>34.799999999999997</v>
      </c>
      <c r="E1124" t="s">
        <v>558</v>
      </c>
      <c r="F1124" t="s">
        <v>1049</v>
      </c>
      <c r="G1124" t="s">
        <v>117</v>
      </c>
      <c r="H1124" t="s">
        <v>2435</v>
      </c>
    </row>
    <row r="1125" spans="1:8" ht="15" customHeight="1" x14ac:dyDescent="0.25">
      <c r="A1125" t="s">
        <v>2305</v>
      </c>
      <c r="B1125" t="s">
        <v>2306</v>
      </c>
      <c r="C1125" s="1">
        <v>46169</v>
      </c>
      <c r="D1125" s="5">
        <v>7.36</v>
      </c>
      <c r="E1125" t="s">
        <v>558</v>
      </c>
      <c r="F1125" t="s">
        <v>1049</v>
      </c>
      <c r="G1125" t="s">
        <v>292</v>
      </c>
      <c r="H1125" t="s">
        <v>2436</v>
      </c>
    </row>
    <row r="1126" spans="1:8" ht="15" customHeight="1" x14ac:dyDescent="0.25">
      <c r="A1126" t="s">
        <v>1137</v>
      </c>
      <c r="B1126" t="s">
        <v>1138</v>
      </c>
      <c r="C1126" s="1">
        <v>46169</v>
      </c>
      <c r="D1126" s="5">
        <v>7.36</v>
      </c>
      <c r="E1126" t="s">
        <v>558</v>
      </c>
      <c r="F1126" t="s">
        <v>1049</v>
      </c>
      <c r="G1126" t="s">
        <v>292</v>
      </c>
      <c r="H1126" t="s">
        <v>2437</v>
      </c>
    </row>
    <row r="1127" spans="1:8" ht="15" customHeight="1" x14ac:dyDescent="0.25">
      <c r="A1127" t="s">
        <v>277</v>
      </c>
      <c r="B1127" t="s">
        <v>278</v>
      </c>
      <c r="C1127" s="1">
        <v>46169</v>
      </c>
      <c r="D1127" s="5">
        <v>31.2</v>
      </c>
      <c r="E1127" t="s">
        <v>558</v>
      </c>
      <c r="F1127" t="s">
        <v>1049</v>
      </c>
      <c r="G1127" t="s">
        <v>314</v>
      </c>
      <c r="H1127" t="s">
        <v>2438</v>
      </c>
    </row>
    <row r="1128" spans="1:8" ht="15" customHeight="1" x14ac:dyDescent="0.25">
      <c r="A1128" t="s">
        <v>1054</v>
      </c>
      <c r="B1128" t="s">
        <v>1055</v>
      </c>
      <c r="C1128" s="1">
        <v>46169</v>
      </c>
      <c r="D1128" s="5">
        <v>17.399999999999999</v>
      </c>
      <c r="E1128" t="s">
        <v>558</v>
      </c>
      <c r="F1128" t="s">
        <v>1049</v>
      </c>
      <c r="G1128" t="s">
        <v>117</v>
      </c>
      <c r="H1128" t="s">
        <v>2439</v>
      </c>
    </row>
    <row r="1129" spans="1:8" ht="15" customHeight="1" x14ac:dyDescent="0.25">
      <c r="A1129" t="s">
        <v>833</v>
      </c>
      <c r="B1129" t="s">
        <v>834</v>
      </c>
      <c r="C1129" s="1">
        <v>46169</v>
      </c>
      <c r="D1129" s="5">
        <v>5.52</v>
      </c>
      <c r="E1129" t="s">
        <v>558</v>
      </c>
      <c r="F1129" t="s">
        <v>1049</v>
      </c>
      <c r="G1129" t="s">
        <v>260</v>
      </c>
      <c r="H1129" t="s">
        <v>2440</v>
      </c>
    </row>
    <row r="1130" spans="1:8" ht="15" customHeight="1" x14ac:dyDescent="0.25">
      <c r="A1130" t="s">
        <v>1504</v>
      </c>
      <c r="B1130" t="s">
        <v>1505</v>
      </c>
      <c r="C1130" s="1">
        <v>46169</v>
      </c>
      <c r="D1130" s="5">
        <v>5.52</v>
      </c>
      <c r="E1130" t="s">
        <v>558</v>
      </c>
      <c r="F1130" t="s">
        <v>1049</v>
      </c>
      <c r="G1130" t="s">
        <v>260</v>
      </c>
      <c r="H1130" t="s">
        <v>2441</v>
      </c>
    </row>
    <row r="1131" spans="1:8" ht="15" customHeight="1" x14ac:dyDescent="0.25">
      <c r="A1131" t="s">
        <v>2442</v>
      </c>
      <c r="B1131" t="s">
        <v>2443</v>
      </c>
      <c r="C1131" s="1">
        <v>46169</v>
      </c>
      <c r="D1131" s="5">
        <v>38.520000000000003</v>
      </c>
      <c r="E1131" t="s">
        <v>558</v>
      </c>
      <c r="F1131" t="s">
        <v>1049</v>
      </c>
      <c r="G1131" t="s">
        <v>260</v>
      </c>
      <c r="H1131" t="s">
        <v>2444</v>
      </c>
    </row>
    <row r="1132" spans="1:8" ht="15" customHeight="1" x14ac:dyDescent="0.25">
      <c r="A1132" t="s">
        <v>338</v>
      </c>
      <c r="B1132" t="s">
        <v>339</v>
      </c>
      <c r="C1132" s="1">
        <v>46170</v>
      </c>
      <c r="D1132" s="5">
        <v>26</v>
      </c>
      <c r="E1132" t="s">
        <v>558</v>
      </c>
      <c r="F1132" t="s">
        <v>1049</v>
      </c>
      <c r="G1132" t="s">
        <v>128</v>
      </c>
      <c r="H1132" t="s">
        <v>2445</v>
      </c>
    </row>
    <row r="1133" spans="1:8" ht="15" customHeight="1" x14ac:dyDescent="0.25">
      <c r="A1133" t="s">
        <v>2446</v>
      </c>
      <c r="B1133" t="s">
        <v>2447</v>
      </c>
      <c r="C1133" s="1">
        <v>46170</v>
      </c>
      <c r="D1133" s="5">
        <v>47.31</v>
      </c>
      <c r="E1133" t="s">
        <v>558</v>
      </c>
      <c r="F1133" t="s">
        <v>1049</v>
      </c>
      <c r="G1133" t="s">
        <v>135</v>
      </c>
      <c r="H1133" t="s">
        <v>2448</v>
      </c>
    </row>
    <row r="1134" spans="1:8" ht="15" customHeight="1" x14ac:dyDescent="0.25">
      <c r="A1134" t="s">
        <v>2038</v>
      </c>
      <c r="B1134" t="s">
        <v>2039</v>
      </c>
      <c r="C1134" s="1">
        <v>46170</v>
      </c>
      <c r="D1134" s="5">
        <v>3</v>
      </c>
      <c r="E1134" t="s">
        <v>558</v>
      </c>
      <c r="F1134" t="s">
        <v>1049</v>
      </c>
      <c r="G1134" t="s">
        <v>117</v>
      </c>
      <c r="H1134" t="s">
        <v>2449</v>
      </c>
    </row>
    <row r="1135" spans="1:8" ht="15" customHeight="1" x14ac:dyDescent="0.25">
      <c r="A1135" t="s">
        <v>583</v>
      </c>
      <c r="B1135" t="s">
        <v>584</v>
      </c>
      <c r="C1135" s="1">
        <v>46170</v>
      </c>
      <c r="D1135" s="5">
        <v>3</v>
      </c>
      <c r="E1135" t="s">
        <v>558</v>
      </c>
      <c r="F1135" t="s">
        <v>1049</v>
      </c>
      <c r="G1135" t="s">
        <v>117</v>
      </c>
      <c r="H1135" t="s">
        <v>2450</v>
      </c>
    </row>
    <row r="1136" spans="1:8" ht="15" customHeight="1" x14ac:dyDescent="0.25">
      <c r="A1136" t="s">
        <v>1760</v>
      </c>
      <c r="B1136" t="s">
        <v>1761</v>
      </c>
      <c r="C1136" s="1">
        <v>46170</v>
      </c>
      <c r="D1136" s="5">
        <v>5.52</v>
      </c>
      <c r="E1136" t="s">
        <v>558</v>
      </c>
      <c r="F1136" t="s">
        <v>1049</v>
      </c>
      <c r="G1136" t="s">
        <v>135</v>
      </c>
      <c r="H1136" t="s">
        <v>2451</v>
      </c>
    </row>
    <row r="1137" spans="1:8" ht="15" customHeight="1" x14ac:dyDescent="0.25">
      <c r="A1137" t="s">
        <v>576</v>
      </c>
      <c r="B1137" t="s">
        <v>577</v>
      </c>
      <c r="C1137" s="1">
        <v>46170</v>
      </c>
      <c r="D1137" s="5">
        <v>3</v>
      </c>
      <c r="E1137" t="s">
        <v>558</v>
      </c>
      <c r="F1137" t="s">
        <v>1049</v>
      </c>
      <c r="G1137" t="s">
        <v>117</v>
      </c>
      <c r="H1137" t="s">
        <v>2452</v>
      </c>
    </row>
    <row r="1138" spans="1:8" ht="15" customHeight="1" x14ac:dyDescent="0.25">
      <c r="A1138" t="s">
        <v>2152</v>
      </c>
      <c r="B1138" t="s">
        <v>488</v>
      </c>
      <c r="C1138" s="1">
        <v>46170</v>
      </c>
      <c r="D1138" s="5">
        <v>26</v>
      </c>
      <c r="E1138" t="s">
        <v>558</v>
      </c>
      <c r="F1138" t="s">
        <v>1049</v>
      </c>
      <c r="G1138" t="s">
        <v>128</v>
      </c>
      <c r="H1138" t="s">
        <v>2453</v>
      </c>
    </row>
    <row r="1139" spans="1:8" ht="15" customHeight="1" x14ac:dyDescent="0.25">
      <c r="A1139" t="s">
        <v>2454</v>
      </c>
      <c r="B1139" t="s">
        <v>2455</v>
      </c>
      <c r="C1139" s="1">
        <v>46170</v>
      </c>
      <c r="D1139" s="5">
        <v>26</v>
      </c>
      <c r="E1139" t="s">
        <v>558</v>
      </c>
      <c r="F1139" t="s">
        <v>1049</v>
      </c>
      <c r="G1139" t="s">
        <v>128</v>
      </c>
      <c r="H1139" t="s">
        <v>2456</v>
      </c>
    </row>
    <row r="1140" spans="1:8" ht="15" customHeight="1" x14ac:dyDescent="0.25">
      <c r="A1140" t="s">
        <v>1602</v>
      </c>
      <c r="B1140" t="s">
        <v>1603</v>
      </c>
      <c r="C1140" s="1">
        <v>46170</v>
      </c>
      <c r="D1140" s="5">
        <v>150.6</v>
      </c>
      <c r="E1140" t="s">
        <v>558</v>
      </c>
      <c r="F1140" t="s">
        <v>1049</v>
      </c>
      <c r="G1140" t="s">
        <v>128</v>
      </c>
      <c r="H1140" t="s">
        <v>2457</v>
      </c>
    </row>
    <row r="1141" spans="1:8" ht="15" customHeight="1" x14ac:dyDescent="0.25">
      <c r="A1141" t="s">
        <v>2458</v>
      </c>
      <c r="B1141" t="s">
        <v>2459</v>
      </c>
      <c r="C1141" s="1">
        <v>46170</v>
      </c>
      <c r="D1141" s="5">
        <v>150.6</v>
      </c>
      <c r="E1141" t="s">
        <v>558</v>
      </c>
      <c r="F1141" t="s">
        <v>1049</v>
      </c>
      <c r="G1141" t="s">
        <v>128</v>
      </c>
      <c r="H1141" t="s">
        <v>2460</v>
      </c>
    </row>
    <row r="1142" spans="1:8" ht="15" customHeight="1" x14ac:dyDescent="0.25">
      <c r="A1142" t="s">
        <v>617</v>
      </c>
      <c r="B1142" t="s">
        <v>618</v>
      </c>
      <c r="C1142" s="1">
        <v>46170</v>
      </c>
      <c r="D1142" s="5">
        <v>26</v>
      </c>
      <c r="E1142" t="s">
        <v>558</v>
      </c>
      <c r="F1142" t="s">
        <v>1049</v>
      </c>
      <c r="G1142" t="s">
        <v>128</v>
      </c>
      <c r="H1142" t="s">
        <v>2461</v>
      </c>
    </row>
    <row r="1143" spans="1:8" ht="15" customHeight="1" x14ac:dyDescent="0.25">
      <c r="A1143" t="s">
        <v>2241</v>
      </c>
      <c r="B1143" t="s">
        <v>556</v>
      </c>
      <c r="C1143" s="1">
        <v>46170</v>
      </c>
      <c r="D1143" s="5">
        <v>87</v>
      </c>
      <c r="E1143" t="s">
        <v>558</v>
      </c>
      <c r="F1143" t="s">
        <v>1049</v>
      </c>
      <c r="G1143" t="s">
        <v>117</v>
      </c>
      <c r="H1143" t="s">
        <v>2462</v>
      </c>
    </row>
    <row r="1144" spans="1:8" ht="15" customHeight="1" x14ac:dyDescent="0.25">
      <c r="A1144" t="s">
        <v>2396</v>
      </c>
      <c r="B1144" t="s">
        <v>2397</v>
      </c>
      <c r="C1144" s="1">
        <v>46170</v>
      </c>
      <c r="D1144" s="5">
        <v>52.2</v>
      </c>
      <c r="E1144" t="s">
        <v>558</v>
      </c>
      <c r="F1144" t="s">
        <v>1049</v>
      </c>
      <c r="G1144" t="s">
        <v>117</v>
      </c>
      <c r="H1144" t="s">
        <v>2463</v>
      </c>
    </row>
    <row r="1145" spans="1:8" ht="15" customHeight="1" x14ac:dyDescent="0.25">
      <c r="A1145" t="s">
        <v>1958</v>
      </c>
      <c r="B1145" t="s">
        <v>1959</v>
      </c>
      <c r="C1145" s="1">
        <v>46170</v>
      </c>
      <c r="D1145" s="5">
        <v>150.6</v>
      </c>
      <c r="E1145" t="s">
        <v>558</v>
      </c>
      <c r="F1145" t="s">
        <v>1049</v>
      </c>
      <c r="G1145" t="s">
        <v>128</v>
      </c>
      <c r="H1145" t="s">
        <v>2464</v>
      </c>
    </row>
    <row r="1146" spans="1:8" ht="15" customHeight="1" x14ac:dyDescent="0.25">
      <c r="A1146" t="s">
        <v>171</v>
      </c>
      <c r="B1146" t="s">
        <v>172</v>
      </c>
      <c r="C1146" s="1">
        <v>46170</v>
      </c>
      <c r="D1146" s="5">
        <v>3.86</v>
      </c>
      <c r="E1146" t="s">
        <v>558</v>
      </c>
      <c r="F1146" t="s">
        <v>1049</v>
      </c>
      <c r="G1146" t="s">
        <v>148</v>
      </c>
      <c r="H1146" t="s">
        <v>2465</v>
      </c>
    </row>
    <row r="1147" spans="1:8" ht="15" customHeight="1" x14ac:dyDescent="0.25">
      <c r="A1147" t="s">
        <v>2466</v>
      </c>
      <c r="B1147" t="s">
        <v>2467</v>
      </c>
      <c r="C1147" s="1">
        <v>46170</v>
      </c>
      <c r="D1147" s="5">
        <v>31.54</v>
      </c>
      <c r="E1147" t="s">
        <v>558</v>
      </c>
      <c r="F1147" t="s">
        <v>1049</v>
      </c>
      <c r="G1147" t="s">
        <v>135</v>
      </c>
      <c r="H1147" t="s">
        <v>2468</v>
      </c>
    </row>
    <row r="1148" spans="1:8" ht="15" customHeight="1" x14ac:dyDescent="0.25">
      <c r="A1148" t="s">
        <v>710</v>
      </c>
      <c r="B1148" t="s">
        <v>711</v>
      </c>
      <c r="C1148" s="1">
        <v>46170</v>
      </c>
      <c r="D1148" s="5">
        <v>3.68</v>
      </c>
      <c r="E1148" t="s">
        <v>558</v>
      </c>
      <c r="F1148" t="s">
        <v>1049</v>
      </c>
      <c r="G1148" t="s">
        <v>264</v>
      </c>
      <c r="H1148" t="s">
        <v>2469</v>
      </c>
    </row>
    <row r="1149" spans="1:8" ht="15" customHeight="1" x14ac:dyDescent="0.25">
      <c r="A1149" t="s">
        <v>2470</v>
      </c>
      <c r="B1149" t="s">
        <v>2471</v>
      </c>
      <c r="C1149" s="1">
        <v>46170</v>
      </c>
      <c r="D1149" s="5">
        <v>38.520000000000003</v>
      </c>
      <c r="E1149" t="s">
        <v>558</v>
      </c>
      <c r="F1149" t="s">
        <v>1049</v>
      </c>
      <c r="G1149" t="s">
        <v>309</v>
      </c>
      <c r="H1149" t="s">
        <v>2472</v>
      </c>
    </row>
    <row r="1150" spans="1:8" ht="15" customHeight="1" x14ac:dyDescent="0.25">
      <c r="A1150" t="s">
        <v>633</v>
      </c>
      <c r="B1150" t="s">
        <v>634</v>
      </c>
      <c r="C1150" s="1">
        <v>46170</v>
      </c>
      <c r="D1150" s="5">
        <v>150.6</v>
      </c>
      <c r="E1150" t="s">
        <v>558</v>
      </c>
      <c r="F1150" t="s">
        <v>1049</v>
      </c>
      <c r="G1150" t="s">
        <v>128</v>
      </c>
      <c r="H1150" t="s">
        <v>2473</v>
      </c>
    </row>
    <row r="1151" spans="1:8" ht="15" customHeight="1" x14ac:dyDescent="0.25">
      <c r="A1151" t="s">
        <v>1547</v>
      </c>
      <c r="B1151" t="s">
        <v>1548</v>
      </c>
      <c r="C1151" s="1">
        <v>46170</v>
      </c>
      <c r="D1151" s="5">
        <v>3.86</v>
      </c>
      <c r="E1151" t="s">
        <v>558</v>
      </c>
      <c r="F1151" t="s">
        <v>1049</v>
      </c>
      <c r="G1151" t="s">
        <v>1689</v>
      </c>
      <c r="H1151" t="s">
        <v>2474</v>
      </c>
    </row>
    <row r="1152" spans="1:8" ht="15" customHeight="1" x14ac:dyDescent="0.25">
      <c r="A1152" t="s">
        <v>792</v>
      </c>
      <c r="B1152" t="s">
        <v>793</v>
      </c>
      <c r="C1152" s="1">
        <v>46170</v>
      </c>
      <c r="D1152" s="5">
        <v>3.68</v>
      </c>
      <c r="E1152" t="s">
        <v>558</v>
      </c>
      <c r="F1152" t="s">
        <v>1049</v>
      </c>
      <c r="G1152" t="s">
        <v>1502</v>
      </c>
      <c r="H1152" t="s">
        <v>2475</v>
      </c>
    </row>
    <row r="1153" spans="1:8" ht="15" customHeight="1" x14ac:dyDescent="0.25">
      <c r="A1153" t="s">
        <v>1447</v>
      </c>
      <c r="B1153" t="s">
        <v>1448</v>
      </c>
      <c r="C1153" s="1">
        <v>46170</v>
      </c>
      <c r="D1153" s="5">
        <v>3.68</v>
      </c>
      <c r="E1153" t="s">
        <v>558</v>
      </c>
      <c r="F1153" t="s">
        <v>1049</v>
      </c>
      <c r="G1153" t="s">
        <v>260</v>
      </c>
      <c r="H1153" t="s">
        <v>2476</v>
      </c>
    </row>
    <row r="1154" spans="1:8" ht="15" customHeight="1" x14ac:dyDescent="0.25">
      <c r="A1154" t="s">
        <v>2477</v>
      </c>
      <c r="B1154" t="s">
        <v>2478</v>
      </c>
      <c r="C1154" s="1">
        <v>46170</v>
      </c>
      <c r="D1154" s="5">
        <v>141.79</v>
      </c>
      <c r="E1154" t="s">
        <v>558</v>
      </c>
      <c r="F1154" t="s">
        <v>1049</v>
      </c>
      <c r="G1154" t="s">
        <v>1085</v>
      </c>
      <c r="H1154" t="s">
        <v>2479</v>
      </c>
    </row>
    <row r="1155" spans="1:8" ht="15" customHeight="1" x14ac:dyDescent="0.25">
      <c r="A1155" t="s">
        <v>2480</v>
      </c>
      <c r="B1155" t="s">
        <v>2481</v>
      </c>
      <c r="C1155" s="1">
        <v>46170</v>
      </c>
      <c r="D1155" s="5">
        <v>31.2</v>
      </c>
      <c r="E1155" t="s">
        <v>558</v>
      </c>
      <c r="F1155" t="s">
        <v>1049</v>
      </c>
      <c r="G1155" t="s">
        <v>1085</v>
      </c>
      <c r="H1155" t="s">
        <v>2482</v>
      </c>
    </row>
    <row r="1156" spans="1:8" ht="15" customHeight="1" x14ac:dyDescent="0.25">
      <c r="A1156" t="s">
        <v>2483</v>
      </c>
      <c r="B1156" t="s">
        <v>2484</v>
      </c>
      <c r="C1156" s="1">
        <v>46170</v>
      </c>
      <c r="D1156" s="5">
        <v>38.520000000000003</v>
      </c>
      <c r="E1156" t="s">
        <v>558</v>
      </c>
      <c r="F1156" t="s">
        <v>1049</v>
      </c>
      <c r="G1156" t="s">
        <v>260</v>
      </c>
      <c r="H1156" t="s">
        <v>2485</v>
      </c>
    </row>
    <row r="1157" spans="1:8" ht="15" customHeight="1" x14ac:dyDescent="0.25">
      <c r="A1157" t="s">
        <v>2486</v>
      </c>
      <c r="B1157" t="s">
        <v>2487</v>
      </c>
      <c r="C1157" s="1">
        <v>46170</v>
      </c>
      <c r="D1157" s="5">
        <v>25.68</v>
      </c>
      <c r="E1157" t="s">
        <v>558</v>
      </c>
      <c r="F1157" t="s">
        <v>1049</v>
      </c>
      <c r="G1157" t="s">
        <v>209</v>
      </c>
      <c r="H1157" t="s">
        <v>2488</v>
      </c>
    </row>
    <row r="1158" spans="1:8" ht="15" customHeight="1" x14ac:dyDescent="0.25">
      <c r="A1158" t="s">
        <v>2489</v>
      </c>
      <c r="B1158" t="s">
        <v>393</v>
      </c>
      <c r="C1158" s="1">
        <v>46171</v>
      </c>
      <c r="D1158" s="5">
        <v>146.66999999999999</v>
      </c>
      <c r="E1158" t="s">
        <v>558</v>
      </c>
      <c r="F1158" t="s">
        <v>1049</v>
      </c>
      <c r="G1158" t="s">
        <v>128</v>
      </c>
      <c r="H1158" t="s">
        <v>2490</v>
      </c>
    </row>
    <row r="1159" spans="1:8" ht="15" customHeight="1" x14ac:dyDescent="0.25">
      <c r="A1159" t="s">
        <v>1245</v>
      </c>
      <c r="B1159" t="s">
        <v>1993</v>
      </c>
      <c r="C1159" s="1">
        <v>46171</v>
      </c>
      <c r="D1159" s="5">
        <v>26</v>
      </c>
      <c r="E1159" t="s">
        <v>558</v>
      </c>
      <c r="F1159" t="s">
        <v>1049</v>
      </c>
      <c r="G1159" t="s">
        <v>128</v>
      </c>
      <c r="H1159" t="s">
        <v>2491</v>
      </c>
    </row>
    <row r="1160" spans="1:8" ht="15" customHeight="1" x14ac:dyDescent="0.25">
      <c r="A1160" t="s">
        <v>2257</v>
      </c>
      <c r="B1160" t="s">
        <v>2258</v>
      </c>
      <c r="C1160" s="1">
        <v>46171</v>
      </c>
      <c r="D1160" s="5">
        <v>3.68</v>
      </c>
      <c r="E1160" t="s">
        <v>558</v>
      </c>
      <c r="F1160" t="s">
        <v>1049</v>
      </c>
      <c r="G1160" t="s">
        <v>264</v>
      </c>
      <c r="H1160" t="s">
        <v>2492</v>
      </c>
    </row>
    <row r="1161" spans="1:8" ht="15" customHeight="1" x14ac:dyDescent="0.25">
      <c r="A1161" t="s">
        <v>2421</v>
      </c>
      <c r="B1161" t="s">
        <v>2422</v>
      </c>
      <c r="C1161" s="1">
        <v>46171</v>
      </c>
      <c r="D1161" s="5">
        <v>5.52</v>
      </c>
      <c r="E1161" t="s">
        <v>558</v>
      </c>
      <c r="F1161" t="s">
        <v>1049</v>
      </c>
      <c r="G1161" t="s">
        <v>128</v>
      </c>
      <c r="H1161" t="s">
        <v>2493</v>
      </c>
    </row>
    <row r="1162" spans="1:8" ht="15" customHeight="1" x14ac:dyDescent="0.25">
      <c r="A1162" t="s">
        <v>891</v>
      </c>
      <c r="B1162" t="s">
        <v>892</v>
      </c>
      <c r="C1162" s="1">
        <v>46171</v>
      </c>
      <c r="D1162" s="5">
        <v>5.52</v>
      </c>
      <c r="E1162" t="s">
        <v>558</v>
      </c>
      <c r="F1162" t="s">
        <v>1049</v>
      </c>
      <c r="G1162" t="s">
        <v>128</v>
      </c>
      <c r="H1162" t="s">
        <v>2494</v>
      </c>
    </row>
    <row r="1163" spans="1:8" ht="15" customHeight="1" x14ac:dyDescent="0.25">
      <c r="A1163" t="s">
        <v>277</v>
      </c>
      <c r="B1163" t="s">
        <v>278</v>
      </c>
      <c r="C1163" s="1">
        <v>46171</v>
      </c>
      <c r="D1163" s="5">
        <v>69.599999999999994</v>
      </c>
      <c r="E1163" t="s">
        <v>558</v>
      </c>
      <c r="F1163" t="s">
        <v>1049</v>
      </c>
      <c r="G1163" t="s">
        <v>117</v>
      </c>
      <c r="H1163" t="s">
        <v>2495</v>
      </c>
    </row>
    <row r="1164" spans="1:8" ht="15" customHeight="1" x14ac:dyDescent="0.25">
      <c r="A1164" t="s">
        <v>2496</v>
      </c>
      <c r="B1164" t="s">
        <v>2497</v>
      </c>
      <c r="C1164" s="1">
        <v>46171</v>
      </c>
      <c r="D1164" s="5">
        <v>3.68</v>
      </c>
      <c r="E1164" t="s">
        <v>558</v>
      </c>
      <c r="F1164" t="s">
        <v>1049</v>
      </c>
      <c r="G1164" t="s">
        <v>264</v>
      </c>
      <c r="H1164" t="s">
        <v>2498</v>
      </c>
    </row>
    <row r="1165" spans="1:8" ht="15" customHeight="1" x14ac:dyDescent="0.25">
      <c r="A1165" t="s">
        <v>606</v>
      </c>
      <c r="B1165" t="s">
        <v>607</v>
      </c>
      <c r="C1165" s="1">
        <v>46171</v>
      </c>
      <c r="D1165" s="5">
        <v>38.520000000000003</v>
      </c>
      <c r="E1165" t="s">
        <v>558</v>
      </c>
      <c r="F1165" t="s">
        <v>1049</v>
      </c>
      <c r="G1165" t="s">
        <v>128</v>
      </c>
      <c r="H1165" t="s">
        <v>2499</v>
      </c>
    </row>
    <row r="1166" spans="1:8" ht="15" customHeight="1" x14ac:dyDescent="0.25">
      <c r="A1166" t="s">
        <v>76</v>
      </c>
      <c r="B1166" t="s">
        <v>77</v>
      </c>
      <c r="C1166" s="1">
        <v>46171</v>
      </c>
      <c r="D1166" s="5">
        <v>3.86</v>
      </c>
      <c r="E1166" t="s">
        <v>558</v>
      </c>
      <c r="F1166" t="s">
        <v>1049</v>
      </c>
      <c r="G1166" t="s">
        <v>148</v>
      </c>
      <c r="H1166" t="s">
        <v>2500</v>
      </c>
    </row>
    <row r="1167" spans="1:8" ht="15" customHeight="1" x14ac:dyDescent="0.25">
      <c r="A1167" t="s">
        <v>76</v>
      </c>
      <c r="B1167" t="s">
        <v>77</v>
      </c>
      <c r="C1167" s="1">
        <v>46171</v>
      </c>
      <c r="D1167" s="5">
        <v>5.52</v>
      </c>
      <c r="E1167" t="s">
        <v>558</v>
      </c>
      <c r="F1167" t="s">
        <v>1049</v>
      </c>
      <c r="G1167" t="s">
        <v>148</v>
      </c>
      <c r="H1167" t="s">
        <v>2501</v>
      </c>
    </row>
    <row r="1168" spans="1:8" ht="15" customHeight="1" x14ac:dyDescent="0.25">
      <c r="A1168" t="s">
        <v>252</v>
      </c>
      <c r="B1168" t="s">
        <v>253</v>
      </c>
      <c r="C1168" s="1">
        <v>46171</v>
      </c>
      <c r="D1168" s="5">
        <v>3.86</v>
      </c>
      <c r="E1168" t="s">
        <v>558</v>
      </c>
      <c r="F1168" t="s">
        <v>1049</v>
      </c>
      <c r="G1168" t="s">
        <v>148</v>
      </c>
      <c r="H1168" t="s">
        <v>2502</v>
      </c>
    </row>
    <row r="1169" spans="1:8" ht="15" customHeight="1" x14ac:dyDescent="0.25">
      <c r="A1169" t="s">
        <v>252</v>
      </c>
      <c r="B1169" t="s">
        <v>253</v>
      </c>
      <c r="C1169" s="1">
        <v>46171</v>
      </c>
      <c r="D1169" s="5">
        <v>47.31</v>
      </c>
      <c r="E1169" t="s">
        <v>558</v>
      </c>
      <c r="F1169" t="s">
        <v>1049</v>
      </c>
      <c r="G1169" t="s">
        <v>148</v>
      </c>
      <c r="H1169" t="s">
        <v>2503</v>
      </c>
    </row>
    <row r="1170" spans="1:8" ht="15" customHeight="1" x14ac:dyDescent="0.25">
      <c r="A1170" t="s">
        <v>2504</v>
      </c>
      <c r="B1170" t="s">
        <v>2505</v>
      </c>
      <c r="C1170" s="1">
        <v>46171</v>
      </c>
      <c r="D1170" s="5">
        <v>152.53</v>
      </c>
      <c r="E1170" t="s">
        <v>558</v>
      </c>
      <c r="F1170" t="s">
        <v>1049</v>
      </c>
      <c r="G1170" t="s">
        <v>148</v>
      </c>
      <c r="H1170" t="s">
        <v>2506</v>
      </c>
    </row>
    <row r="1171" spans="1:8" ht="15" customHeight="1" x14ac:dyDescent="0.25">
      <c r="A1171" t="s">
        <v>2504</v>
      </c>
      <c r="B1171" t="s">
        <v>2505</v>
      </c>
      <c r="C1171" s="1">
        <v>46171</v>
      </c>
      <c r="D1171" s="5">
        <v>3.86</v>
      </c>
      <c r="E1171" t="s">
        <v>558</v>
      </c>
      <c r="F1171" t="s">
        <v>1049</v>
      </c>
      <c r="G1171" t="s">
        <v>148</v>
      </c>
      <c r="H1171" t="s">
        <v>2507</v>
      </c>
    </row>
    <row r="1172" spans="1:8" ht="15" customHeight="1" x14ac:dyDescent="0.25">
      <c r="A1172" t="s">
        <v>1521</v>
      </c>
      <c r="B1172" t="s">
        <v>1522</v>
      </c>
      <c r="C1172" s="1">
        <v>46171</v>
      </c>
      <c r="D1172" s="5">
        <v>3</v>
      </c>
      <c r="E1172" t="s">
        <v>558</v>
      </c>
      <c r="F1172" t="s">
        <v>1049</v>
      </c>
      <c r="G1172" t="s">
        <v>117</v>
      </c>
      <c r="H1172" t="s">
        <v>2508</v>
      </c>
    </row>
    <row r="1173" spans="1:8" ht="15" customHeight="1" x14ac:dyDescent="0.25">
      <c r="A1173" t="s">
        <v>1267</v>
      </c>
      <c r="B1173" t="s">
        <v>404</v>
      </c>
      <c r="C1173" s="1">
        <v>46171</v>
      </c>
      <c r="D1173" s="5">
        <v>3</v>
      </c>
      <c r="E1173" t="s">
        <v>558</v>
      </c>
      <c r="F1173" t="s">
        <v>1049</v>
      </c>
      <c r="G1173" t="s">
        <v>117</v>
      </c>
      <c r="H1173" t="s">
        <v>2509</v>
      </c>
    </row>
    <row r="1174" spans="1:8" ht="15" customHeight="1" x14ac:dyDescent="0.25">
      <c r="A1174" t="s">
        <v>2133</v>
      </c>
      <c r="B1174" t="s">
        <v>2020</v>
      </c>
      <c r="C1174" s="1">
        <v>46171</v>
      </c>
      <c r="D1174" s="5">
        <v>3.86</v>
      </c>
      <c r="E1174" t="s">
        <v>558</v>
      </c>
      <c r="F1174" t="s">
        <v>1049</v>
      </c>
      <c r="G1174" t="s">
        <v>148</v>
      </c>
      <c r="H1174" t="s">
        <v>2510</v>
      </c>
    </row>
    <row r="1175" spans="1:8" ht="15" customHeight="1" x14ac:dyDescent="0.25">
      <c r="A1175" t="s">
        <v>2133</v>
      </c>
      <c r="B1175" t="s">
        <v>2020</v>
      </c>
      <c r="C1175" s="1">
        <v>46171</v>
      </c>
      <c r="D1175" s="5">
        <v>5.52</v>
      </c>
      <c r="E1175" t="s">
        <v>558</v>
      </c>
      <c r="F1175" t="s">
        <v>1049</v>
      </c>
      <c r="G1175" t="s">
        <v>148</v>
      </c>
      <c r="H1175" t="s">
        <v>2511</v>
      </c>
    </row>
    <row r="1176" spans="1:8" ht="15" customHeight="1" x14ac:dyDescent="0.25">
      <c r="A1176" t="s">
        <v>2512</v>
      </c>
      <c r="B1176" t="s">
        <v>2513</v>
      </c>
      <c r="C1176" s="1">
        <v>46171</v>
      </c>
      <c r="D1176" s="5">
        <v>152.53</v>
      </c>
      <c r="E1176" t="s">
        <v>558</v>
      </c>
      <c r="F1176" t="s">
        <v>1049</v>
      </c>
      <c r="G1176" t="s">
        <v>148</v>
      </c>
      <c r="H1176" t="s">
        <v>2514</v>
      </c>
    </row>
    <row r="1177" spans="1:8" ht="15" customHeight="1" x14ac:dyDescent="0.25">
      <c r="A1177" t="s">
        <v>2515</v>
      </c>
      <c r="B1177" t="s">
        <v>2516</v>
      </c>
      <c r="C1177" s="1">
        <v>46171</v>
      </c>
      <c r="D1177" s="5">
        <v>146.66999999999999</v>
      </c>
      <c r="E1177" t="s">
        <v>558</v>
      </c>
      <c r="F1177" t="s">
        <v>1049</v>
      </c>
      <c r="G1177" t="s">
        <v>128</v>
      </c>
      <c r="H1177" t="s">
        <v>2517</v>
      </c>
    </row>
    <row r="1178" spans="1:8" ht="15" customHeight="1" x14ac:dyDescent="0.25">
      <c r="A1178" t="s">
        <v>2518</v>
      </c>
      <c r="B1178" t="s">
        <v>2519</v>
      </c>
      <c r="C1178" s="1">
        <v>46171</v>
      </c>
      <c r="D1178" s="5">
        <v>159.51</v>
      </c>
      <c r="E1178" t="s">
        <v>558</v>
      </c>
      <c r="F1178" t="s">
        <v>1049</v>
      </c>
      <c r="G1178" t="s">
        <v>128</v>
      </c>
      <c r="H1178" t="s">
        <v>2520</v>
      </c>
    </row>
    <row r="1179" spans="1:8" ht="15" customHeight="1" x14ac:dyDescent="0.25">
      <c r="A1179" t="s">
        <v>2512</v>
      </c>
      <c r="B1179" t="s">
        <v>2513</v>
      </c>
      <c r="C1179" s="1">
        <v>46171</v>
      </c>
      <c r="D1179" s="5">
        <v>3.86</v>
      </c>
      <c r="E1179" t="s">
        <v>558</v>
      </c>
      <c r="F1179" t="s">
        <v>1049</v>
      </c>
      <c r="G1179" t="s">
        <v>148</v>
      </c>
      <c r="H1179" t="s">
        <v>2521</v>
      </c>
    </row>
    <row r="1180" spans="1:8" ht="15" customHeight="1" x14ac:dyDescent="0.25">
      <c r="A1180" t="s">
        <v>2522</v>
      </c>
      <c r="B1180" t="s">
        <v>2523</v>
      </c>
      <c r="C1180" s="1">
        <v>46171</v>
      </c>
      <c r="D1180" s="5">
        <v>141.79</v>
      </c>
      <c r="E1180" t="s">
        <v>558</v>
      </c>
      <c r="F1180" t="s">
        <v>1049</v>
      </c>
      <c r="G1180" t="s">
        <v>121</v>
      </c>
      <c r="H1180" t="s">
        <v>2524</v>
      </c>
    </row>
    <row r="1181" spans="1:8" ht="15" customHeight="1" x14ac:dyDescent="0.25">
      <c r="A1181" t="s">
        <v>2525</v>
      </c>
      <c r="B1181" t="s">
        <v>2526</v>
      </c>
      <c r="C1181" s="1">
        <v>46171</v>
      </c>
      <c r="D1181" s="5">
        <f>15.77*2</f>
        <v>31.54</v>
      </c>
      <c r="E1181" t="s">
        <v>558</v>
      </c>
      <c r="F1181" t="s">
        <v>1049</v>
      </c>
      <c r="G1181" t="s">
        <v>296</v>
      </c>
      <c r="H1181" t="s">
        <v>2527</v>
      </c>
    </row>
    <row r="1182" spans="1:8" ht="15" customHeight="1" x14ac:dyDescent="0.25">
      <c r="A1182" t="s">
        <v>207</v>
      </c>
      <c r="B1182" t="s">
        <v>2528</v>
      </c>
      <c r="C1182" s="1">
        <v>46171</v>
      </c>
      <c r="D1182" s="5">
        <f>10.4*2</f>
        <v>20.8</v>
      </c>
      <c r="E1182" t="s">
        <v>558</v>
      </c>
      <c r="F1182" t="s">
        <v>1049</v>
      </c>
      <c r="G1182" t="s">
        <v>2529</v>
      </c>
      <c r="H1182" t="s">
        <v>2530</v>
      </c>
    </row>
    <row r="1183" spans="1:8" ht="15" customHeight="1" x14ac:dyDescent="0.25">
      <c r="A1183" t="s">
        <v>2427</v>
      </c>
      <c r="B1183" t="s">
        <v>2428</v>
      </c>
      <c r="C1183" s="1">
        <v>46171</v>
      </c>
      <c r="D1183" s="5">
        <f>1.84*2</f>
        <v>3.68</v>
      </c>
      <c r="E1183" t="s">
        <v>558</v>
      </c>
      <c r="F1183" t="s">
        <v>1049</v>
      </c>
      <c r="G1183" t="s">
        <v>2529</v>
      </c>
      <c r="H1183" t="s">
        <v>2531</v>
      </c>
    </row>
    <row r="1184" spans="1:8" ht="15" customHeight="1" x14ac:dyDescent="0.25">
      <c r="A1184" t="s">
        <v>2532</v>
      </c>
      <c r="B1184" t="s">
        <v>2533</v>
      </c>
      <c r="C1184" s="1">
        <v>46171</v>
      </c>
      <c r="D1184" s="5">
        <v>19.45</v>
      </c>
      <c r="E1184" t="s">
        <v>558</v>
      </c>
      <c r="F1184" t="s">
        <v>1049</v>
      </c>
      <c r="G1184" t="s">
        <v>292</v>
      </c>
      <c r="H1184" t="s">
        <v>2534</v>
      </c>
    </row>
    <row r="1185" spans="1:8" ht="15" customHeight="1" x14ac:dyDescent="0.25">
      <c r="A1185" t="s">
        <v>587</v>
      </c>
      <c r="B1185" t="s">
        <v>588</v>
      </c>
      <c r="C1185" s="1">
        <v>46171</v>
      </c>
      <c r="D1185" s="5">
        <v>3.86</v>
      </c>
      <c r="E1185" t="s">
        <v>558</v>
      </c>
      <c r="F1185" t="s">
        <v>1049</v>
      </c>
      <c r="G1185" t="s">
        <v>148</v>
      </c>
      <c r="H1185" t="s">
        <v>2535</v>
      </c>
    </row>
    <row r="1186" spans="1:8" ht="15" customHeight="1" x14ac:dyDescent="0.25">
      <c r="A1186" t="s">
        <v>2536</v>
      </c>
      <c r="B1186" t="s">
        <v>2537</v>
      </c>
      <c r="C1186" s="1">
        <v>46171</v>
      </c>
      <c r="D1186" s="5">
        <v>31.54</v>
      </c>
      <c r="E1186" t="s">
        <v>558</v>
      </c>
      <c r="F1186" t="s">
        <v>1049</v>
      </c>
      <c r="G1186" t="s">
        <v>2538</v>
      </c>
      <c r="H1186" t="s">
        <v>2539</v>
      </c>
    </row>
    <row r="1187" spans="1:8" ht="15" customHeight="1" x14ac:dyDescent="0.25">
      <c r="A1187" t="s">
        <v>2540</v>
      </c>
      <c r="B1187" t="s">
        <v>2541</v>
      </c>
      <c r="C1187" s="1">
        <v>46171</v>
      </c>
      <c r="D1187" s="5">
        <v>31.54</v>
      </c>
      <c r="E1187" t="s">
        <v>558</v>
      </c>
      <c r="F1187" t="s">
        <v>1049</v>
      </c>
      <c r="G1187" t="s">
        <v>2538</v>
      </c>
      <c r="H1187" t="s">
        <v>2542</v>
      </c>
    </row>
    <row r="1188" spans="1:8" ht="15" customHeight="1" x14ac:dyDescent="0.25">
      <c r="A1188" t="s">
        <v>2543</v>
      </c>
      <c r="B1188" t="s">
        <v>2544</v>
      </c>
      <c r="C1188" s="1">
        <v>46172</v>
      </c>
      <c r="D1188" s="5">
        <v>127.6</v>
      </c>
      <c r="E1188" t="s">
        <v>558</v>
      </c>
      <c r="F1188" t="s">
        <v>1049</v>
      </c>
      <c r="G1188" t="s">
        <v>292</v>
      </c>
      <c r="H1188" t="s">
        <v>2545</v>
      </c>
    </row>
    <row r="1189" spans="1:8" ht="15" customHeight="1" x14ac:dyDescent="0.25">
      <c r="A1189" t="s">
        <v>2546</v>
      </c>
      <c r="B1189" t="s">
        <v>1884</v>
      </c>
      <c r="C1189" s="1">
        <v>46172</v>
      </c>
      <c r="D1189" s="5">
        <v>27.52</v>
      </c>
      <c r="E1189" t="s">
        <v>558</v>
      </c>
      <c r="F1189" t="s">
        <v>1049</v>
      </c>
      <c r="G1189" t="s">
        <v>222</v>
      </c>
      <c r="H1189" t="s">
        <v>2547</v>
      </c>
    </row>
    <row r="1190" spans="1:8" ht="15" customHeight="1" x14ac:dyDescent="0.25">
      <c r="A1190" t="s">
        <v>2352</v>
      </c>
      <c r="B1190" t="s">
        <v>2353</v>
      </c>
      <c r="C1190" s="1">
        <v>46173</v>
      </c>
      <c r="D1190" s="5">
        <v>6</v>
      </c>
      <c r="E1190" t="s">
        <v>558</v>
      </c>
      <c r="F1190" t="s">
        <v>1049</v>
      </c>
      <c r="G1190" t="s">
        <v>117</v>
      </c>
      <c r="H1190" t="s">
        <v>2548</v>
      </c>
    </row>
    <row r="1191" spans="1:8" ht="15" customHeight="1" x14ac:dyDescent="0.25">
      <c r="A1191" t="s">
        <v>2433</v>
      </c>
      <c r="B1191" t="s">
        <v>2434</v>
      </c>
      <c r="C1191" s="1">
        <v>46173</v>
      </c>
      <c r="D1191" s="5">
        <v>55.2</v>
      </c>
      <c r="E1191" t="s">
        <v>558</v>
      </c>
      <c r="F1191" t="s">
        <v>1049</v>
      </c>
      <c r="G1191" t="s">
        <v>117</v>
      </c>
      <c r="H1191" t="s">
        <v>2549</v>
      </c>
    </row>
    <row r="1192" spans="1:8" ht="15" customHeight="1" x14ac:dyDescent="0.25">
      <c r="A1192" t="s">
        <v>2298</v>
      </c>
      <c r="B1192" t="s">
        <v>2299</v>
      </c>
      <c r="C1192" s="1">
        <v>46173</v>
      </c>
      <c r="D1192" s="5">
        <v>3.68</v>
      </c>
      <c r="E1192" t="s">
        <v>558</v>
      </c>
      <c r="F1192" t="s">
        <v>1049</v>
      </c>
      <c r="G1192" t="s">
        <v>1860</v>
      </c>
      <c r="H1192" t="s">
        <v>2550</v>
      </c>
    </row>
    <row r="1193" spans="1:8" ht="15" customHeight="1" x14ac:dyDescent="0.25">
      <c r="A1193" t="s">
        <v>1269</v>
      </c>
      <c r="B1193" t="s">
        <v>1270</v>
      </c>
      <c r="C1193" s="1">
        <v>46173</v>
      </c>
      <c r="D1193" s="5">
        <v>3</v>
      </c>
      <c r="E1193" t="s">
        <v>558</v>
      </c>
      <c r="F1193" t="s">
        <v>1049</v>
      </c>
      <c r="G1193" t="s">
        <v>117</v>
      </c>
      <c r="H1193" t="s">
        <v>2551</v>
      </c>
    </row>
    <row r="1194" spans="1:8" ht="15" customHeight="1" x14ac:dyDescent="0.25">
      <c r="A1194" t="s">
        <v>2552</v>
      </c>
      <c r="B1194" t="s">
        <v>2553</v>
      </c>
      <c r="C1194" s="1">
        <v>46174</v>
      </c>
      <c r="D1194" s="5">
        <v>146.66999999999999</v>
      </c>
      <c r="E1194" t="s">
        <v>558</v>
      </c>
      <c r="F1194" t="s">
        <v>1049</v>
      </c>
      <c r="G1194" t="s">
        <v>128</v>
      </c>
      <c r="H1194" t="s">
        <v>2554</v>
      </c>
    </row>
    <row r="1195" spans="1:8" ht="15" customHeight="1" x14ac:dyDescent="0.25">
      <c r="A1195" t="s">
        <v>338</v>
      </c>
      <c r="B1195" t="s">
        <v>339</v>
      </c>
      <c r="C1195" s="1">
        <v>46174</v>
      </c>
      <c r="D1195" s="5">
        <v>26</v>
      </c>
      <c r="E1195" t="s">
        <v>558</v>
      </c>
      <c r="F1195" t="s">
        <v>1049</v>
      </c>
      <c r="G1195" t="s">
        <v>128</v>
      </c>
      <c r="H1195" t="s">
        <v>2555</v>
      </c>
    </row>
    <row r="1196" spans="1:8" ht="15" customHeight="1" x14ac:dyDescent="0.25">
      <c r="A1196" t="s">
        <v>961</v>
      </c>
      <c r="B1196" t="s">
        <v>962</v>
      </c>
      <c r="C1196" s="1">
        <v>46174</v>
      </c>
      <c r="D1196" s="5">
        <v>5.52</v>
      </c>
      <c r="E1196" t="s">
        <v>558</v>
      </c>
      <c r="F1196" t="s">
        <v>1049</v>
      </c>
      <c r="G1196" t="s">
        <v>128</v>
      </c>
      <c r="H1196" t="s">
        <v>2556</v>
      </c>
    </row>
    <row r="1197" spans="1:8" ht="15" customHeight="1" x14ac:dyDescent="0.25">
      <c r="A1197" t="s">
        <v>1195</v>
      </c>
      <c r="B1197" t="s">
        <v>1196</v>
      </c>
      <c r="C1197" s="1">
        <v>46174</v>
      </c>
      <c r="D1197" s="5">
        <v>5.52</v>
      </c>
      <c r="E1197" t="s">
        <v>558</v>
      </c>
      <c r="F1197" t="s">
        <v>1049</v>
      </c>
      <c r="G1197" t="s">
        <v>128</v>
      </c>
      <c r="H1197" t="s">
        <v>2557</v>
      </c>
    </row>
    <row r="1198" spans="1:8" ht="15" customHeight="1" x14ac:dyDescent="0.25">
      <c r="A1198" t="s">
        <v>730</v>
      </c>
      <c r="B1198" t="s">
        <v>1111</v>
      </c>
      <c r="C1198" s="1">
        <v>46174</v>
      </c>
      <c r="D1198" s="5">
        <v>5.52</v>
      </c>
      <c r="E1198" t="s">
        <v>558</v>
      </c>
      <c r="F1198" t="s">
        <v>1049</v>
      </c>
      <c r="G1198" t="s">
        <v>128</v>
      </c>
      <c r="H1198" t="s">
        <v>2558</v>
      </c>
    </row>
    <row r="1199" spans="1:8" ht="15" customHeight="1" x14ac:dyDescent="0.25">
      <c r="A1199" t="s">
        <v>562</v>
      </c>
      <c r="B1199" t="s">
        <v>563</v>
      </c>
      <c r="C1199" s="1">
        <v>46174</v>
      </c>
      <c r="D1199" s="5">
        <v>26</v>
      </c>
      <c r="E1199" t="s">
        <v>558</v>
      </c>
      <c r="F1199" t="s">
        <v>1049</v>
      </c>
      <c r="G1199" t="s">
        <v>128</v>
      </c>
      <c r="H1199" t="s">
        <v>2559</v>
      </c>
    </row>
    <row r="1200" spans="1:8" ht="15" customHeight="1" x14ac:dyDescent="0.25">
      <c r="A1200" t="s">
        <v>2486</v>
      </c>
      <c r="B1200" t="s">
        <v>2487</v>
      </c>
      <c r="C1200" s="1">
        <v>46174</v>
      </c>
      <c r="D1200" s="5">
        <v>3.68</v>
      </c>
      <c r="E1200" t="s">
        <v>558</v>
      </c>
      <c r="F1200" t="s">
        <v>1049</v>
      </c>
      <c r="G1200" t="s">
        <v>209</v>
      </c>
      <c r="H1200" t="s">
        <v>2560</v>
      </c>
    </row>
    <row r="1201" spans="1:8" ht="15" customHeight="1" x14ac:dyDescent="0.25">
      <c r="A1201" t="s">
        <v>894</v>
      </c>
      <c r="B1201" t="s">
        <v>895</v>
      </c>
      <c r="C1201" s="1">
        <v>46174</v>
      </c>
      <c r="D1201" s="5">
        <v>26</v>
      </c>
      <c r="E1201" t="s">
        <v>558</v>
      </c>
      <c r="F1201" t="s">
        <v>1049</v>
      </c>
      <c r="G1201" t="s">
        <v>128</v>
      </c>
      <c r="H1201" t="s">
        <v>2561</v>
      </c>
    </row>
    <row r="1202" spans="1:8" ht="15" customHeight="1" x14ac:dyDescent="0.25">
      <c r="A1202" t="s">
        <v>481</v>
      </c>
      <c r="B1202" t="s">
        <v>482</v>
      </c>
      <c r="C1202" s="1">
        <v>46174</v>
      </c>
      <c r="D1202" s="5">
        <v>26</v>
      </c>
      <c r="E1202" t="s">
        <v>558</v>
      </c>
      <c r="F1202" t="s">
        <v>1049</v>
      </c>
      <c r="G1202" t="s">
        <v>128</v>
      </c>
      <c r="H1202" t="s">
        <v>2562</v>
      </c>
    </row>
    <row r="1203" spans="1:8" ht="15" customHeight="1" x14ac:dyDescent="0.25">
      <c r="A1203" t="s">
        <v>825</v>
      </c>
      <c r="B1203" t="s">
        <v>826</v>
      </c>
      <c r="C1203" s="1">
        <v>46174</v>
      </c>
      <c r="D1203" s="5">
        <v>26</v>
      </c>
      <c r="E1203" t="s">
        <v>558</v>
      </c>
      <c r="F1203" t="s">
        <v>1049</v>
      </c>
      <c r="G1203" t="s">
        <v>128</v>
      </c>
      <c r="H1203" t="s">
        <v>2563</v>
      </c>
    </row>
    <row r="1204" spans="1:8" ht="15" customHeight="1" x14ac:dyDescent="0.25">
      <c r="A1204" t="s">
        <v>2424</v>
      </c>
      <c r="B1204" t="s">
        <v>2425</v>
      </c>
      <c r="C1204" s="1">
        <v>46174</v>
      </c>
      <c r="D1204" s="5">
        <v>7.36</v>
      </c>
      <c r="E1204" t="s">
        <v>558</v>
      </c>
      <c r="F1204" t="s">
        <v>1049</v>
      </c>
      <c r="G1204" t="s">
        <v>128</v>
      </c>
      <c r="H1204" t="s">
        <v>2564</v>
      </c>
    </row>
    <row r="1205" spans="1:8" ht="15" customHeight="1" x14ac:dyDescent="0.25">
      <c r="A1205" t="s">
        <v>2565</v>
      </c>
      <c r="B1205" t="s">
        <v>2566</v>
      </c>
      <c r="C1205" s="1">
        <v>46174</v>
      </c>
      <c r="D1205" s="5">
        <v>38.520000000000003</v>
      </c>
      <c r="E1205" t="s">
        <v>558</v>
      </c>
      <c r="F1205" t="s">
        <v>1049</v>
      </c>
      <c r="G1205" t="s">
        <v>128</v>
      </c>
      <c r="H1205" t="s">
        <v>2567</v>
      </c>
    </row>
    <row r="1206" spans="1:8" ht="15" customHeight="1" x14ac:dyDescent="0.25">
      <c r="A1206" t="s">
        <v>2568</v>
      </c>
      <c r="B1206" t="s">
        <v>2569</v>
      </c>
      <c r="C1206" s="1">
        <v>46174</v>
      </c>
      <c r="D1206" s="5">
        <v>133.22999999999999</v>
      </c>
      <c r="E1206" t="s">
        <v>558</v>
      </c>
      <c r="F1206" t="s">
        <v>1049</v>
      </c>
      <c r="G1206" t="s">
        <v>296</v>
      </c>
      <c r="H1206" t="s">
        <v>2570</v>
      </c>
    </row>
    <row r="1207" spans="1:8" ht="15" customHeight="1" x14ac:dyDescent="0.25">
      <c r="A1207" t="s">
        <v>1372</v>
      </c>
      <c r="B1207" t="s">
        <v>1373</v>
      </c>
      <c r="C1207" s="1">
        <v>46174</v>
      </c>
      <c r="D1207" s="5">
        <v>38.520000000000003</v>
      </c>
      <c r="E1207" t="s">
        <v>558</v>
      </c>
      <c r="F1207" t="s">
        <v>1049</v>
      </c>
      <c r="G1207" t="s">
        <v>128</v>
      </c>
      <c r="H1207" t="s">
        <v>2571</v>
      </c>
    </row>
    <row r="1208" spans="1:8" ht="15" customHeight="1" x14ac:dyDescent="0.25">
      <c r="A1208" t="s">
        <v>1210</v>
      </c>
      <c r="B1208" t="s">
        <v>1211</v>
      </c>
      <c r="C1208" s="1">
        <v>46174</v>
      </c>
      <c r="D1208" s="5">
        <v>5.52</v>
      </c>
      <c r="E1208" t="s">
        <v>558</v>
      </c>
      <c r="F1208" t="s">
        <v>1049</v>
      </c>
      <c r="G1208" t="s">
        <v>135</v>
      </c>
      <c r="H1208" t="s">
        <v>2572</v>
      </c>
    </row>
    <row r="1209" spans="1:8" ht="15" customHeight="1" x14ac:dyDescent="0.25">
      <c r="A1209" t="s">
        <v>1709</v>
      </c>
      <c r="B1209" t="s">
        <v>1710</v>
      </c>
      <c r="C1209" s="1">
        <v>46174</v>
      </c>
      <c r="D1209" s="5">
        <v>3</v>
      </c>
      <c r="E1209" t="s">
        <v>558</v>
      </c>
      <c r="F1209" t="s">
        <v>1049</v>
      </c>
      <c r="G1209" t="s">
        <v>124</v>
      </c>
      <c r="H1209" t="s">
        <v>2573</v>
      </c>
    </row>
    <row r="1210" spans="1:8" ht="15" customHeight="1" x14ac:dyDescent="0.25">
      <c r="A1210" t="s">
        <v>2574</v>
      </c>
      <c r="B1210" t="s">
        <v>2575</v>
      </c>
      <c r="C1210" s="1">
        <v>46174</v>
      </c>
      <c r="D1210" s="5">
        <v>26</v>
      </c>
      <c r="E1210" t="s">
        <v>558</v>
      </c>
      <c r="F1210" t="s">
        <v>1049</v>
      </c>
      <c r="G1210" t="s">
        <v>128</v>
      </c>
      <c r="H1210" t="s">
        <v>2576</v>
      </c>
    </row>
    <row r="1211" spans="1:8" ht="15" customHeight="1" x14ac:dyDescent="0.25">
      <c r="A1211" t="s">
        <v>94</v>
      </c>
      <c r="B1211" t="s">
        <v>95</v>
      </c>
      <c r="C1211" s="1">
        <v>46174</v>
      </c>
      <c r="D1211" s="5">
        <v>26</v>
      </c>
      <c r="E1211" t="s">
        <v>558</v>
      </c>
      <c r="F1211" t="s">
        <v>1049</v>
      </c>
      <c r="G1211" t="s">
        <v>128</v>
      </c>
      <c r="H1211" t="s">
        <v>2577</v>
      </c>
    </row>
    <row r="1212" spans="1:8" ht="15" customHeight="1" x14ac:dyDescent="0.25">
      <c r="A1212" t="s">
        <v>146</v>
      </c>
      <c r="B1212" t="s">
        <v>147</v>
      </c>
      <c r="C1212" s="1">
        <v>46174</v>
      </c>
      <c r="D1212" s="5">
        <v>3.86</v>
      </c>
      <c r="E1212" t="s">
        <v>558</v>
      </c>
      <c r="F1212" t="s">
        <v>1049</v>
      </c>
      <c r="G1212" t="s">
        <v>148</v>
      </c>
      <c r="H1212" t="s">
        <v>2578</v>
      </c>
    </row>
    <row r="1213" spans="1:8" ht="15" customHeight="1" x14ac:dyDescent="0.25">
      <c r="A1213" t="s">
        <v>171</v>
      </c>
      <c r="B1213" t="s">
        <v>172</v>
      </c>
      <c r="C1213" s="1">
        <v>46174</v>
      </c>
      <c r="D1213" s="5">
        <v>3.86</v>
      </c>
      <c r="E1213" t="s">
        <v>558</v>
      </c>
      <c r="F1213" t="s">
        <v>1049</v>
      </c>
      <c r="G1213" t="s">
        <v>148</v>
      </c>
      <c r="H1213" t="s">
        <v>2579</v>
      </c>
    </row>
    <row r="1214" spans="1:8" ht="15" customHeight="1" x14ac:dyDescent="0.25">
      <c r="A1214" t="s">
        <v>792</v>
      </c>
      <c r="B1214" t="s">
        <v>793</v>
      </c>
      <c r="C1214" s="1">
        <v>46174</v>
      </c>
      <c r="D1214" s="5">
        <f>1.84*3</f>
        <v>5.5200000000000005</v>
      </c>
      <c r="E1214" t="s">
        <v>558</v>
      </c>
      <c r="F1214" t="s">
        <v>1049</v>
      </c>
      <c r="G1214" t="s">
        <v>1026</v>
      </c>
      <c r="H1214" t="s">
        <v>2580</v>
      </c>
    </row>
    <row r="1215" spans="1:8" ht="15" customHeight="1" x14ac:dyDescent="0.25">
      <c r="A1215" t="s">
        <v>2581</v>
      </c>
      <c r="B1215" t="s">
        <v>2582</v>
      </c>
      <c r="C1215" s="1">
        <v>46174</v>
      </c>
      <c r="D1215" s="5">
        <f>1.84*3+120.99</f>
        <v>126.50999999999999</v>
      </c>
      <c r="E1215" t="s">
        <v>558</v>
      </c>
      <c r="F1215" t="s">
        <v>1049</v>
      </c>
      <c r="G1215" t="s">
        <v>1026</v>
      </c>
      <c r="H1215" t="s">
        <v>2583</v>
      </c>
    </row>
    <row r="1216" spans="1:8" ht="15" customHeight="1" x14ac:dyDescent="0.25">
      <c r="A1216" t="s">
        <v>388</v>
      </c>
      <c r="B1216" t="s">
        <v>389</v>
      </c>
      <c r="C1216" s="1">
        <v>46174</v>
      </c>
      <c r="D1216" s="5">
        <v>26</v>
      </c>
      <c r="E1216" t="s">
        <v>558</v>
      </c>
      <c r="F1216" t="s">
        <v>1049</v>
      </c>
      <c r="G1216" t="s">
        <v>128</v>
      </c>
      <c r="H1216" t="s">
        <v>2584</v>
      </c>
    </row>
    <row r="1217" spans="1:8" ht="15" customHeight="1" x14ac:dyDescent="0.25">
      <c r="A1217" t="s">
        <v>15</v>
      </c>
      <c r="B1217" t="s">
        <v>383</v>
      </c>
      <c r="C1217" s="1">
        <v>46174</v>
      </c>
      <c r="D1217" s="5">
        <v>26</v>
      </c>
      <c r="E1217" t="s">
        <v>558</v>
      </c>
      <c r="F1217" t="s">
        <v>1049</v>
      </c>
      <c r="G1217" t="s">
        <v>128</v>
      </c>
      <c r="H1217" t="s">
        <v>2585</v>
      </c>
    </row>
    <row r="1218" spans="1:8" ht="15" customHeight="1" x14ac:dyDescent="0.25">
      <c r="A1218" t="s">
        <v>1165</v>
      </c>
      <c r="B1218" t="s">
        <v>1166</v>
      </c>
      <c r="C1218" s="1">
        <v>46174</v>
      </c>
      <c r="D1218" s="5">
        <v>5.52</v>
      </c>
      <c r="E1218" t="s">
        <v>558</v>
      </c>
      <c r="F1218" t="s">
        <v>1049</v>
      </c>
      <c r="G1218" t="s">
        <v>222</v>
      </c>
      <c r="H1218" t="s">
        <v>2586</v>
      </c>
    </row>
    <row r="1219" spans="1:8" ht="15" customHeight="1" x14ac:dyDescent="0.25">
      <c r="A1219" t="s">
        <v>2587</v>
      </c>
      <c r="B1219" t="s">
        <v>2210</v>
      </c>
      <c r="C1219" s="1">
        <v>46174</v>
      </c>
      <c r="D1219" s="5">
        <v>146.66999999999999</v>
      </c>
      <c r="E1219" t="s">
        <v>558</v>
      </c>
      <c r="F1219" t="s">
        <v>1049</v>
      </c>
      <c r="G1219" t="s">
        <v>128</v>
      </c>
      <c r="H1219" t="s">
        <v>2588</v>
      </c>
    </row>
    <row r="1220" spans="1:8" ht="15" customHeight="1" x14ac:dyDescent="0.25">
      <c r="A1220" t="s">
        <v>2587</v>
      </c>
      <c r="B1220" t="s">
        <v>2210</v>
      </c>
      <c r="C1220" s="1">
        <v>46174</v>
      </c>
      <c r="D1220" s="5">
        <v>150.6</v>
      </c>
      <c r="E1220" t="s">
        <v>558</v>
      </c>
      <c r="F1220" t="s">
        <v>1049</v>
      </c>
      <c r="G1220" t="s">
        <v>128</v>
      </c>
      <c r="H1220" t="s">
        <v>2589</v>
      </c>
    </row>
    <row r="1221" spans="1:8" ht="15" customHeight="1" x14ac:dyDescent="0.25">
      <c r="A1221" t="s">
        <v>104</v>
      </c>
      <c r="B1221" t="s">
        <v>105</v>
      </c>
      <c r="C1221" s="1">
        <v>46174</v>
      </c>
      <c r="D1221" s="5">
        <v>3.86</v>
      </c>
      <c r="E1221" t="s">
        <v>558</v>
      </c>
      <c r="F1221" t="s">
        <v>1049</v>
      </c>
      <c r="G1221" t="s">
        <v>124</v>
      </c>
      <c r="H1221" t="s">
        <v>2590</v>
      </c>
    </row>
    <row r="1222" spans="1:8" ht="15" customHeight="1" x14ac:dyDescent="0.25">
      <c r="A1222" t="s">
        <v>884</v>
      </c>
      <c r="B1222" t="s">
        <v>885</v>
      </c>
      <c r="C1222" s="1">
        <v>46174</v>
      </c>
      <c r="D1222" s="5">
        <v>38.520000000000003</v>
      </c>
      <c r="E1222" t="s">
        <v>558</v>
      </c>
      <c r="F1222" t="s">
        <v>1049</v>
      </c>
      <c r="G1222" t="s">
        <v>128</v>
      </c>
      <c r="H1222" t="s">
        <v>2591</v>
      </c>
    </row>
    <row r="1223" spans="1:8" ht="15" customHeight="1" x14ac:dyDescent="0.25">
      <c r="A1223" t="s">
        <v>2592</v>
      </c>
      <c r="B1223" t="s">
        <v>2593</v>
      </c>
      <c r="C1223" s="1">
        <v>46174</v>
      </c>
      <c r="D1223" s="5">
        <v>15.77</v>
      </c>
      <c r="E1223" t="s">
        <v>558</v>
      </c>
      <c r="F1223" t="s">
        <v>1049</v>
      </c>
      <c r="G1223" t="s">
        <v>296</v>
      </c>
      <c r="H1223" t="s">
        <v>2594</v>
      </c>
    </row>
    <row r="1224" spans="1:8" ht="15" customHeight="1" x14ac:dyDescent="0.25">
      <c r="A1224" t="s">
        <v>2243</v>
      </c>
      <c r="B1224" t="s">
        <v>2244</v>
      </c>
      <c r="C1224" s="1">
        <v>46174</v>
      </c>
      <c r="D1224" s="5">
        <v>3</v>
      </c>
      <c r="E1224" t="s">
        <v>558</v>
      </c>
      <c r="F1224" t="s">
        <v>1049</v>
      </c>
      <c r="G1224" t="s">
        <v>117</v>
      </c>
      <c r="H1224" t="s">
        <v>2595</v>
      </c>
    </row>
    <row r="1225" spans="1:8" ht="15" customHeight="1" x14ac:dyDescent="0.25">
      <c r="A1225" t="s">
        <v>1691</v>
      </c>
      <c r="B1225" t="s">
        <v>1080</v>
      </c>
      <c r="C1225" s="1">
        <v>46174</v>
      </c>
      <c r="D1225" s="5">
        <v>3</v>
      </c>
      <c r="E1225" t="s">
        <v>558</v>
      </c>
      <c r="F1225" t="s">
        <v>1049</v>
      </c>
      <c r="G1225" t="s">
        <v>117</v>
      </c>
      <c r="H1225" t="s">
        <v>2596</v>
      </c>
    </row>
    <row r="1226" spans="1:8" ht="15" customHeight="1" x14ac:dyDescent="0.25">
      <c r="A1226" t="s">
        <v>380</v>
      </c>
      <c r="B1226" t="s">
        <v>381</v>
      </c>
      <c r="C1226" s="1">
        <v>46174</v>
      </c>
      <c r="D1226" s="5">
        <v>26</v>
      </c>
      <c r="E1226" t="s">
        <v>558</v>
      </c>
      <c r="F1226" t="s">
        <v>1049</v>
      </c>
      <c r="G1226" t="s">
        <v>128</v>
      </c>
      <c r="H1226" t="s">
        <v>2597</v>
      </c>
    </row>
    <row r="1227" spans="1:8" ht="15" customHeight="1" x14ac:dyDescent="0.25">
      <c r="A1227" t="s">
        <v>2598</v>
      </c>
      <c r="B1227" t="s">
        <v>2599</v>
      </c>
      <c r="C1227" s="1">
        <v>46174</v>
      </c>
      <c r="D1227" s="5">
        <v>3.86</v>
      </c>
      <c r="E1227" t="s">
        <v>558</v>
      </c>
      <c r="F1227" t="s">
        <v>1049</v>
      </c>
      <c r="G1227" t="s">
        <v>183</v>
      </c>
      <c r="H1227" t="s">
        <v>2600</v>
      </c>
    </row>
    <row r="1228" spans="1:8" ht="15" customHeight="1" x14ac:dyDescent="0.25">
      <c r="A1228" t="s">
        <v>2601</v>
      </c>
      <c r="B1228" t="s">
        <v>2602</v>
      </c>
      <c r="C1228" s="1">
        <v>46174</v>
      </c>
      <c r="D1228" s="5">
        <v>67.23</v>
      </c>
      <c r="E1228" t="s">
        <v>558</v>
      </c>
      <c r="F1228" t="s">
        <v>1049</v>
      </c>
      <c r="G1228" t="s">
        <v>1689</v>
      </c>
      <c r="H1228" t="s">
        <v>2603</v>
      </c>
    </row>
    <row r="1229" spans="1:8" ht="15" customHeight="1" x14ac:dyDescent="0.25">
      <c r="A1229" t="s">
        <v>2184</v>
      </c>
      <c r="B1229" t="s">
        <v>2185</v>
      </c>
      <c r="C1229" s="1">
        <v>46174</v>
      </c>
      <c r="D1229" s="5">
        <v>3.86</v>
      </c>
      <c r="E1229" t="s">
        <v>558</v>
      </c>
      <c r="F1229" t="s">
        <v>1049</v>
      </c>
      <c r="G1229" t="s">
        <v>183</v>
      </c>
      <c r="H1229" t="s">
        <v>2604</v>
      </c>
    </row>
    <row r="1230" spans="1:8" ht="15" customHeight="1" x14ac:dyDescent="0.25">
      <c r="A1230" t="s">
        <v>2605</v>
      </c>
      <c r="B1230" t="s">
        <v>2606</v>
      </c>
      <c r="C1230" s="1">
        <v>46174</v>
      </c>
      <c r="D1230" s="5">
        <v>150.6</v>
      </c>
      <c r="E1230" t="s">
        <v>558</v>
      </c>
      <c r="F1230" t="s">
        <v>1049</v>
      </c>
      <c r="G1230" t="s">
        <v>128</v>
      </c>
      <c r="H1230" t="s">
        <v>2607</v>
      </c>
    </row>
    <row r="1231" spans="1:8" ht="15" customHeight="1" x14ac:dyDescent="0.25">
      <c r="A1231" t="s">
        <v>2608</v>
      </c>
      <c r="B1231" t="s">
        <v>2609</v>
      </c>
      <c r="C1231" s="1">
        <v>46174</v>
      </c>
      <c r="D1231" s="5">
        <v>38.520000000000003</v>
      </c>
      <c r="E1231" t="s">
        <v>558</v>
      </c>
      <c r="F1231" t="s">
        <v>1049</v>
      </c>
      <c r="G1231" t="s">
        <v>222</v>
      </c>
      <c r="H1231" t="s">
        <v>2610</v>
      </c>
    </row>
    <row r="1232" spans="1:8" ht="15" customHeight="1" x14ac:dyDescent="0.25">
      <c r="A1232" t="s">
        <v>412</v>
      </c>
      <c r="B1232" t="s">
        <v>413</v>
      </c>
      <c r="C1232" s="1">
        <v>46174</v>
      </c>
      <c r="D1232" s="5">
        <v>26</v>
      </c>
      <c r="E1232" t="s">
        <v>558</v>
      </c>
      <c r="F1232" t="s">
        <v>1049</v>
      </c>
      <c r="G1232" t="s">
        <v>128</v>
      </c>
      <c r="H1232" t="s">
        <v>2611</v>
      </c>
    </row>
    <row r="1233" spans="1:8" ht="15" customHeight="1" x14ac:dyDescent="0.25">
      <c r="A1233" t="s">
        <v>2612</v>
      </c>
      <c r="B1233" t="s">
        <v>2613</v>
      </c>
      <c r="C1233" s="1">
        <v>46174</v>
      </c>
      <c r="D1233" s="5">
        <v>38.520000000000003</v>
      </c>
      <c r="E1233" t="s">
        <v>558</v>
      </c>
      <c r="F1233" t="s">
        <v>1049</v>
      </c>
      <c r="G1233" t="s">
        <v>222</v>
      </c>
      <c r="H1233" t="s">
        <v>2614</v>
      </c>
    </row>
    <row r="1234" spans="1:8" ht="15" customHeight="1" x14ac:dyDescent="0.25">
      <c r="A1234" t="s">
        <v>156</v>
      </c>
      <c r="B1234" t="s">
        <v>157</v>
      </c>
      <c r="C1234" s="1">
        <v>46174</v>
      </c>
      <c r="D1234" s="5">
        <v>3.86</v>
      </c>
      <c r="E1234" t="s">
        <v>558</v>
      </c>
      <c r="F1234" t="s">
        <v>1049</v>
      </c>
      <c r="G1234" t="s">
        <v>183</v>
      </c>
      <c r="H1234" t="s">
        <v>2615</v>
      </c>
    </row>
    <row r="1235" spans="1:8" ht="15" customHeight="1" x14ac:dyDescent="0.25">
      <c r="A1235" t="s">
        <v>2616</v>
      </c>
      <c r="B1235" t="s">
        <v>2617</v>
      </c>
      <c r="C1235" s="1">
        <v>46174</v>
      </c>
      <c r="D1235" s="5">
        <v>141.79</v>
      </c>
      <c r="E1235" t="s">
        <v>558</v>
      </c>
      <c r="F1235" t="s">
        <v>1049</v>
      </c>
      <c r="G1235" t="s">
        <v>657</v>
      </c>
      <c r="H1235" t="s">
        <v>2618</v>
      </c>
    </row>
    <row r="1236" spans="1:8" ht="15" customHeight="1" x14ac:dyDescent="0.25">
      <c r="A1236" t="s">
        <v>2619</v>
      </c>
      <c r="B1236" t="s">
        <v>2620</v>
      </c>
      <c r="C1236" s="1">
        <v>46174</v>
      </c>
      <c r="D1236" s="5">
        <v>38.520000000000003</v>
      </c>
      <c r="E1236" t="s">
        <v>558</v>
      </c>
      <c r="F1236" t="s">
        <v>1049</v>
      </c>
      <c r="G1236" t="s">
        <v>260</v>
      </c>
      <c r="H1236" t="s">
        <v>2621</v>
      </c>
    </row>
    <row r="1237" spans="1:8" ht="15" customHeight="1" x14ac:dyDescent="0.25">
      <c r="A1237" t="s">
        <v>53</v>
      </c>
      <c r="B1237" t="s">
        <v>472</v>
      </c>
      <c r="C1237" s="1">
        <v>46174</v>
      </c>
      <c r="D1237" s="5">
        <v>3</v>
      </c>
      <c r="E1237" t="s">
        <v>558</v>
      </c>
      <c r="F1237" t="s">
        <v>1049</v>
      </c>
      <c r="G1237" t="s">
        <v>2622</v>
      </c>
      <c r="H1237" t="s">
        <v>2623</v>
      </c>
    </row>
    <row r="1238" spans="1:8" ht="15" customHeight="1" x14ac:dyDescent="0.25">
      <c r="A1238" t="s">
        <v>415</v>
      </c>
      <c r="B1238" t="s">
        <v>416</v>
      </c>
      <c r="C1238" s="1">
        <v>46175</v>
      </c>
      <c r="D1238" s="5">
        <v>5.52</v>
      </c>
      <c r="E1238" t="s">
        <v>558</v>
      </c>
      <c r="F1238" t="s">
        <v>1049</v>
      </c>
      <c r="G1238" t="s">
        <v>1502</v>
      </c>
      <c r="H1238" t="s">
        <v>2624</v>
      </c>
    </row>
    <row r="1239" spans="1:8" ht="15" customHeight="1" x14ac:dyDescent="0.25">
      <c r="A1239" t="s">
        <v>2625</v>
      </c>
      <c r="B1239" t="s">
        <v>2626</v>
      </c>
      <c r="C1239" s="1">
        <v>46175</v>
      </c>
      <c r="D1239" s="5">
        <v>3.68</v>
      </c>
      <c r="E1239" t="s">
        <v>558</v>
      </c>
      <c r="F1239" t="s">
        <v>1049</v>
      </c>
      <c r="G1239" t="s">
        <v>264</v>
      </c>
      <c r="H1239" t="s">
        <v>2627</v>
      </c>
    </row>
    <row r="1240" spans="1:8" ht="15" customHeight="1" x14ac:dyDescent="0.25">
      <c r="A1240" t="s">
        <v>2628</v>
      </c>
      <c r="B1240" t="s">
        <v>2629</v>
      </c>
      <c r="C1240" s="1">
        <v>46175</v>
      </c>
      <c r="D1240" s="5">
        <v>141.79</v>
      </c>
      <c r="E1240" t="s">
        <v>558</v>
      </c>
      <c r="F1240" t="s">
        <v>1049</v>
      </c>
      <c r="G1240" t="s">
        <v>1502</v>
      </c>
      <c r="H1240" t="s">
        <v>2630</v>
      </c>
    </row>
    <row r="1241" spans="1:8" ht="15" customHeight="1" x14ac:dyDescent="0.25">
      <c r="A1241" t="s">
        <v>2631</v>
      </c>
      <c r="B1241" t="s">
        <v>2632</v>
      </c>
      <c r="C1241" s="1">
        <v>46175</v>
      </c>
      <c r="D1241" s="5">
        <v>25.68</v>
      </c>
      <c r="E1241" t="s">
        <v>558</v>
      </c>
      <c r="F1241" t="s">
        <v>1049</v>
      </c>
      <c r="G1241" t="s">
        <v>369</v>
      </c>
      <c r="H1241" t="s">
        <v>2633</v>
      </c>
    </row>
    <row r="1242" spans="1:8" ht="15" customHeight="1" x14ac:dyDescent="0.25">
      <c r="A1242" t="s">
        <v>2298</v>
      </c>
      <c r="B1242" t="s">
        <v>2299</v>
      </c>
      <c r="C1242" s="1">
        <v>46175</v>
      </c>
      <c r="D1242" s="5">
        <v>3.68</v>
      </c>
      <c r="E1242" t="s">
        <v>558</v>
      </c>
      <c r="F1242" t="s">
        <v>1049</v>
      </c>
      <c r="G1242" t="s">
        <v>121</v>
      </c>
      <c r="H1242" t="s">
        <v>2634</v>
      </c>
    </row>
    <row r="1243" spans="1:8" ht="15" customHeight="1" x14ac:dyDescent="0.25">
      <c r="A1243" t="s">
        <v>1113</v>
      </c>
      <c r="B1243" t="s">
        <v>1114</v>
      </c>
      <c r="C1243" s="1">
        <v>46175</v>
      </c>
      <c r="D1243" s="5">
        <v>5.52</v>
      </c>
      <c r="E1243" t="s">
        <v>558</v>
      </c>
      <c r="F1243" t="s">
        <v>1049</v>
      </c>
      <c r="G1243" t="s">
        <v>128</v>
      </c>
      <c r="H1243" t="s">
        <v>2635</v>
      </c>
    </row>
    <row r="1244" spans="1:8" ht="15" customHeight="1" x14ac:dyDescent="0.25">
      <c r="A1244" t="s">
        <v>321</v>
      </c>
      <c r="B1244" t="s">
        <v>322</v>
      </c>
      <c r="C1244" s="1">
        <v>46175</v>
      </c>
      <c r="D1244" s="5">
        <v>3.86</v>
      </c>
      <c r="E1244" t="s">
        <v>558</v>
      </c>
      <c r="F1244" t="s">
        <v>1049</v>
      </c>
      <c r="G1244" t="s">
        <v>148</v>
      </c>
      <c r="H1244" t="s">
        <v>2636</v>
      </c>
    </row>
    <row r="1245" spans="1:8" ht="15" customHeight="1" x14ac:dyDescent="0.25">
      <c r="A1245" t="s">
        <v>2637</v>
      </c>
      <c r="B1245" t="s">
        <v>2638</v>
      </c>
      <c r="C1245" s="1">
        <v>46175</v>
      </c>
      <c r="D1245" s="5">
        <v>20.8</v>
      </c>
      <c r="E1245" t="s">
        <v>558</v>
      </c>
      <c r="F1245" t="s">
        <v>1049</v>
      </c>
      <c r="G1245" t="s">
        <v>2639</v>
      </c>
      <c r="H1245" t="s">
        <v>2640</v>
      </c>
    </row>
    <row r="1246" spans="1:8" ht="15" customHeight="1" x14ac:dyDescent="0.25">
      <c r="A1246" t="s">
        <v>1912</v>
      </c>
      <c r="B1246" t="s">
        <v>1913</v>
      </c>
      <c r="C1246" s="1">
        <v>46175</v>
      </c>
      <c r="D1246" s="5">
        <v>26</v>
      </c>
      <c r="E1246" t="s">
        <v>558</v>
      </c>
      <c r="F1246" t="s">
        <v>1049</v>
      </c>
      <c r="G1246" t="s">
        <v>128</v>
      </c>
      <c r="H1246" t="s">
        <v>2641</v>
      </c>
    </row>
    <row r="1247" spans="1:8" ht="15" customHeight="1" x14ac:dyDescent="0.25">
      <c r="A1247" t="s">
        <v>2642</v>
      </c>
      <c r="B1247" t="s">
        <v>1411</v>
      </c>
      <c r="C1247" s="1">
        <v>46175</v>
      </c>
      <c r="D1247" s="5">
        <v>38.520000000000003</v>
      </c>
      <c r="E1247" t="s">
        <v>558</v>
      </c>
      <c r="F1247" t="s">
        <v>1049</v>
      </c>
      <c r="G1247" t="s">
        <v>128</v>
      </c>
      <c r="H1247" t="s">
        <v>2643</v>
      </c>
    </row>
    <row r="1248" spans="1:8" ht="15" customHeight="1" x14ac:dyDescent="0.25">
      <c r="A1248" t="s">
        <v>1201</v>
      </c>
      <c r="B1248" t="s">
        <v>1202</v>
      </c>
      <c r="C1248" s="1">
        <v>46175</v>
      </c>
      <c r="D1248" s="5">
        <v>5.52</v>
      </c>
      <c r="E1248" t="s">
        <v>558</v>
      </c>
      <c r="F1248" t="s">
        <v>1049</v>
      </c>
      <c r="G1248" t="s">
        <v>128</v>
      </c>
      <c r="H1248" t="s">
        <v>2644</v>
      </c>
    </row>
    <row r="1249" spans="1:8" ht="15" customHeight="1" x14ac:dyDescent="0.25">
      <c r="A1249" t="s">
        <v>188</v>
      </c>
      <c r="B1249" t="s">
        <v>189</v>
      </c>
      <c r="C1249" s="1">
        <v>46175</v>
      </c>
      <c r="D1249" s="5">
        <v>38.520000000000003</v>
      </c>
      <c r="E1249" t="s">
        <v>558</v>
      </c>
      <c r="F1249" t="s">
        <v>1049</v>
      </c>
      <c r="G1249" t="s">
        <v>128</v>
      </c>
      <c r="H1249" t="s">
        <v>2645</v>
      </c>
    </row>
    <row r="1250" spans="1:8" ht="15" customHeight="1" x14ac:dyDescent="0.25">
      <c r="A1250" t="s">
        <v>1279</v>
      </c>
      <c r="B1250" t="s">
        <v>2646</v>
      </c>
      <c r="C1250" s="1">
        <v>46175</v>
      </c>
      <c r="D1250" s="5">
        <v>38.520000000000003</v>
      </c>
      <c r="E1250" t="s">
        <v>558</v>
      </c>
      <c r="F1250" t="s">
        <v>1049</v>
      </c>
      <c r="G1250" t="s">
        <v>128</v>
      </c>
      <c r="H1250" t="s">
        <v>2647</v>
      </c>
    </row>
    <row r="1251" spans="1:8" ht="15" customHeight="1" x14ac:dyDescent="0.25">
      <c r="A1251" t="s">
        <v>2648</v>
      </c>
      <c r="B1251" t="s">
        <v>2649</v>
      </c>
      <c r="C1251" s="1">
        <v>46175</v>
      </c>
      <c r="D1251" s="5">
        <v>146.66999999999999</v>
      </c>
      <c r="E1251" t="s">
        <v>558</v>
      </c>
      <c r="F1251" t="s">
        <v>1049</v>
      </c>
      <c r="G1251" t="s">
        <v>128</v>
      </c>
      <c r="H1251" t="s">
        <v>2650</v>
      </c>
    </row>
    <row r="1252" spans="1:8" ht="15" customHeight="1" x14ac:dyDescent="0.25">
      <c r="A1252" t="s">
        <v>2651</v>
      </c>
      <c r="B1252" t="s">
        <v>2652</v>
      </c>
      <c r="C1252" s="1">
        <v>46175</v>
      </c>
      <c r="D1252" s="5">
        <v>146.66999999999999</v>
      </c>
      <c r="E1252" t="s">
        <v>558</v>
      </c>
      <c r="F1252" t="s">
        <v>1049</v>
      </c>
      <c r="G1252" t="s">
        <v>128</v>
      </c>
      <c r="H1252" t="s">
        <v>2653</v>
      </c>
    </row>
    <row r="1253" spans="1:8" ht="15" customHeight="1" x14ac:dyDescent="0.25">
      <c r="A1253" t="s">
        <v>2427</v>
      </c>
      <c r="B1253" t="s">
        <v>2428</v>
      </c>
      <c r="C1253" s="1">
        <v>46175</v>
      </c>
      <c r="D1253" s="5">
        <v>25.68</v>
      </c>
      <c r="E1253" t="s">
        <v>558</v>
      </c>
      <c r="F1253" t="s">
        <v>1049</v>
      </c>
      <c r="G1253" t="s">
        <v>369</v>
      </c>
      <c r="H1253" t="s">
        <v>2654</v>
      </c>
    </row>
    <row r="1254" spans="1:8" ht="15" customHeight="1" x14ac:dyDescent="0.25">
      <c r="A1254" t="s">
        <v>2655</v>
      </c>
      <c r="B1254" t="s">
        <v>2656</v>
      </c>
      <c r="C1254" s="1">
        <v>46175</v>
      </c>
      <c r="D1254" s="5">
        <v>159.51</v>
      </c>
      <c r="E1254" t="s">
        <v>558</v>
      </c>
      <c r="F1254" t="s">
        <v>1049</v>
      </c>
      <c r="G1254" t="s">
        <v>128</v>
      </c>
      <c r="H1254" t="s">
        <v>2657</v>
      </c>
    </row>
    <row r="1255" spans="1:8" ht="15" customHeight="1" x14ac:dyDescent="0.25">
      <c r="A1255" t="s">
        <v>2658</v>
      </c>
      <c r="B1255" t="s">
        <v>2659</v>
      </c>
      <c r="C1255" s="1">
        <v>46175</v>
      </c>
      <c r="D1255" s="5">
        <v>38.520000000000003</v>
      </c>
      <c r="E1255" t="s">
        <v>558</v>
      </c>
      <c r="F1255" t="s">
        <v>1049</v>
      </c>
      <c r="G1255" t="s">
        <v>128</v>
      </c>
      <c r="H1255" t="s">
        <v>2660</v>
      </c>
    </row>
    <row r="1256" spans="1:8" ht="15" customHeight="1" x14ac:dyDescent="0.25">
      <c r="A1256" t="s">
        <v>2661</v>
      </c>
      <c r="B1256" t="s">
        <v>2662</v>
      </c>
      <c r="C1256" s="1">
        <v>46175</v>
      </c>
      <c r="D1256" s="5">
        <v>47.31</v>
      </c>
      <c r="E1256" t="s">
        <v>558</v>
      </c>
      <c r="F1256" t="s">
        <v>1049</v>
      </c>
      <c r="G1256" t="s">
        <v>2538</v>
      </c>
      <c r="H1256" t="s">
        <v>2663</v>
      </c>
    </row>
    <row r="1257" spans="1:8" ht="15" customHeight="1" x14ac:dyDescent="0.25">
      <c r="A1257" t="s">
        <v>2664</v>
      </c>
      <c r="B1257" t="s">
        <v>2665</v>
      </c>
      <c r="C1257" s="1">
        <v>46175</v>
      </c>
      <c r="D1257" s="5">
        <v>141.79</v>
      </c>
      <c r="E1257" t="s">
        <v>558</v>
      </c>
      <c r="F1257" t="s">
        <v>1049</v>
      </c>
      <c r="G1257" t="s">
        <v>314</v>
      </c>
      <c r="H1257" t="s">
        <v>2666</v>
      </c>
    </row>
    <row r="1258" spans="1:8" ht="15" customHeight="1" x14ac:dyDescent="0.25">
      <c r="A1258" t="s">
        <v>2283</v>
      </c>
      <c r="B1258" t="s">
        <v>2284</v>
      </c>
      <c r="C1258" s="1">
        <v>46175</v>
      </c>
      <c r="D1258" s="5">
        <v>5.52</v>
      </c>
      <c r="E1258" t="s">
        <v>558</v>
      </c>
      <c r="F1258" t="s">
        <v>1049</v>
      </c>
      <c r="G1258" t="s">
        <v>222</v>
      </c>
      <c r="H1258" t="s">
        <v>2667</v>
      </c>
    </row>
    <row r="1259" spans="1:8" ht="15" customHeight="1" x14ac:dyDescent="0.25">
      <c r="A1259" t="s">
        <v>1532</v>
      </c>
      <c r="B1259" t="s">
        <v>1533</v>
      </c>
      <c r="C1259" s="1">
        <v>46175</v>
      </c>
      <c r="D1259" s="5">
        <v>26</v>
      </c>
      <c r="E1259" t="s">
        <v>558</v>
      </c>
      <c r="F1259" t="s">
        <v>1049</v>
      </c>
      <c r="G1259" t="s">
        <v>128</v>
      </c>
      <c r="H1259" t="s">
        <v>2668</v>
      </c>
    </row>
    <row r="1260" spans="1:8" ht="15" customHeight="1" x14ac:dyDescent="0.25">
      <c r="A1260" t="s">
        <v>2669</v>
      </c>
      <c r="B1260" t="s">
        <v>2670</v>
      </c>
      <c r="C1260" s="1">
        <v>46175</v>
      </c>
      <c r="D1260" s="5">
        <v>69.599999999999994</v>
      </c>
      <c r="E1260" t="s">
        <v>558</v>
      </c>
      <c r="F1260" t="s">
        <v>1049</v>
      </c>
      <c r="G1260" t="s">
        <v>395</v>
      </c>
      <c r="H1260" t="s">
        <v>2671</v>
      </c>
    </row>
    <row r="1261" spans="1:8" ht="15" customHeight="1" x14ac:dyDescent="0.25">
      <c r="A1261" t="s">
        <v>2672</v>
      </c>
      <c r="B1261" t="s">
        <v>2673</v>
      </c>
      <c r="C1261" s="1">
        <v>46175</v>
      </c>
      <c r="D1261" s="5">
        <v>146.66999999999999</v>
      </c>
      <c r="E1261" t="s">
        <v>558</v>
      </c>
      <c r="F1261" t="s">
        <v>1049</v>
      </c>
      <c r="G1261" t="s">
        <v>222</v>
      </c>
      <c r="H1261" t="s">
        <v>2674</v>
      </c>
    </row>
    <row r="1262" spans="1:8" ht="15" customHeight="1" x14ac:dyDescent="0.25">
      <c r="A1262" t="s">
        <v>2675</v>
      </c>
      <c r="B1262" t="s">
        <v>2676</v>
      </c>
      <c r="C1262" s="1">
        <v>46175</v>
      </c>
      <c r="D1262" s="5">
        <v>150.6</v>
      </c>
      <c r="E1262" t="s">
        <v>558</v>
      </c>
      <c r="F1262" t="s">
        <v>1049</v>
      </c>
      <c r="G1262" t="s">
        <v>128</v>
      </c>
      <c r="H1262" t="s">
        <v>2677</v>
      </c>
    </row>
    <row r="1263" spans="1:8" ht="15" customHeight="1" x14ac:dyDescent="0.25">
      <c r="A1263" t="s">
        <v>2678</v>
      </c>
      <c r="B1263" t="s">
        <v>2679</v>
      </c>
      <c r="C1263" s="1">
        <v>46175</v>
      </c>
      <c r="D1263" s="5">
        <v>146.66999999999999</v>
      </c>
      <c r="E1263" t="s">
        <v>558</v>
      </c>
      <c r="F1263" t="s">
        <v>1049</v>
      </c>
      <c r="G1263" t="s">
        <v>128</v>
      </c>
      <c r="H1263" t="s">
        <v>2680</v>
      </c>
    </row>
    <row r="1264" spans="1:8" ht="15" customHeight="1" x14ac:dyDescent="0.25">
      <c r="A1264" t="s">
        <v>2681</v>
      </c>
      <c r="B1264" t="s">
        <v>2682</v>
      </c>
      <c r="C1264" s="1">
        <v>46175</v>
      </c>
      <c r="D1264" s="5">
        <v>26</v>
      </c>
      <c r="E1264" t="s">
        <v>558</v>
      </c>
      <c r="F1264" t="s">
        <v>1049</v>
      </c>
      <c r="G1264" t="s">
        <v>128</v>
      </c>
      <c r="H1264" t="s">
        <v>2683</v>
      </c>
    </row>
    <row r="1265" spans="1:8" ht="15" customHeight="1" x14ac:dyDescent="0.25">
      <c r="A1265" t="s">
        <v>2684</v>
      </c>
      <c r="B1265" t="s">
        <v>2685</v>
      </c>
      <c r="C1265" s="1">
        <v>46175</v>
      </c>
      <c r="D1265" s="5">
        <v>146.66999999999999</v>
      </c>
      <c r="E1265" t="s">
        <v>558</v>
      </c>
      <c r="F1265" t="s">
        <v>1049</v>
      </c>
      <c r="G1265" t="s">
        <v>222</v>
      </c>
      <c r="H1265" t="s">
        <v>2686</v>
      </c>
    </row>
    <row r="1266" spans="1:8" ht="15" customHeight="1" x14ac:dyDescent="0.25">
      <c r="A1266" t="s">
        <v>1372</v>
      </c>
      <c r="B1266" t="s">
        <v>1373</v>
      </c>
      <c r="C1266" s="1">
        <v>46175</v>
      </c>
      <c r="D1266" s="5">
        <v>5.52</v>
      </c>
      <c r="E1266" t="s">
        <v>558</v>
      </c>
      <c r="F1266" t="s">
        <v>1049</v>
      </c>
      <c r="G1266" t="s">
        <v>135</v>
      </c>
      <c r="H1266" t="s">
        <v>2687</v>
      </c>
    </row>
    <row r="1267" spans="1:8" ht="15" customHeight="1" x14ac:dyDescent="0.25">
      <c r="A1267" t="s">
        <v>2688</v>
      </c>
      <c r="B1267" t="s">
        <v>2689</v>
      </c>
      <c r="C1267" s="1">
        <v>46175</v>
      </c>
      <c r="D1267" s="5">
        <v>5.52</v>
      </c>
      <c r="E1267" t="s">
        <v>558</v>
      </c>
      <c r="F1267" t="s">
        <v>1049</v>
      </c>
      <c r="G1267" t="s">
        <v>260</v>
      </c>
      <c r="H1267" t="s">
        <v>2690</v>
      </c>
    </row>
    <row r="1268" spans="1:8" ht="15" customHeight="1" x14ac:dyDescent="0.25">
      <c r="A1268" t="s">
        <v>1507</v>
      </c>
      <c r="B1268" t="s">
        <v>2691</v>
      </c>
      <c r="C1268" s="1">
        <v>46175</v>
      </c>
      <c r="D1268" s="5">
        <v>38.520000000000003</v>
      </c>
      <c r="E1268" t="s">
        <v>558</v>
      </c>
      <c r="F1268" t="s">
        <v>1049</v>
      </c>
      <c r="G1268" t="s">
        <v>260</v>
      </c>
      <c r="H1268" t="s">
        <v>2692</v>
      </c>
    </row>
    <row r="1269" spans="1:8" ht="15" customHeight="1" x14ac:dyDescent="0.25">
      <c r="A1269" t="s">
        <v>2693</v>
      </c>
      <c r="B1269" t="s">
        <v>2694</v>
      </c>
      <c r="C1269" s="1">
        <v>46176</v>
      </c>
      <c r="D1269" s="5">
        <v>159.51</v>
      </c>
      <c r="E1269" t="s">
        <v>558</v>
      </c>
      <c r="F1269" t="s">
        <v>1049</v>
      </c>
      <c r="G1269" t="s">
        <v>128</v>
      </c>
      <c r="H1269" t="s">
        <v>2695</v>
      </c>
    </row>
    <row r="1270" spans="1:8" ht="15" customHeight="1" x14ac:dyDescent="0.25">
      <c r="A1270" t="s">
        <v>428</v>
      </c>
      <c r="B1270" t="s">
        <v>429</v>
      </c>
      <c r="C1270" s="1">
        <v>46176</v>
      </c>
      <c r="D1270" s="5">
        <v>3.86</v>
      </c>
      <c r="E1270" t="s">
        <v>558</v>
      </c>
      <c r="F1270" t="s">
        <v>1049</v>
      </c>
      <c r="G1270" t="s">
        <v>124</v>
      </c>
      <c r="H1270" t="s">
        <v>2696</v>
      </c>
    </row>
    <row r="1271" spans="1:8" ht="15" customHeight="1" x14ac:dyDescent="0.25">
      <c r="A1271" t="s">
        <v>2697</v>
      </c>
      <c r="B1271" t="s">
        <v>2698</v>
      </c>
      <c r="C1271" s="1">
        <v>46176</v>
      </c>
      <c r="D1271" s="5">
        <v>141.79</v>
      </c>
      <c r="E1271" t="s">
        <v>558</v>
      </c>
      <c r="F1271" t="s">
        <v>1049</v>
      </c>
      <c r="G1271" t="s">
        <v>1689</v>
      </c>
      <c r="H1271" t="s">
        <v>2699</v>
      </c>
    </row>
    <row r="1272" spans="1:8" ht="15" customHeight="1" x14ac:dyDescent="0.25">
      <c r="A1272" t="s">
        <v>277</v>
      </c>
      <c r="B1272" t="s">
        <v>278</v>
      </c>
      <c r="C1272" s="1">
        <v>46176</v>
      </c>
      <c r="D1272" s="5">
        <v>5.52</v>
      </c>
      <c r="E1272" t="s">
        <v>558</v>
      </c>
      <c r="F1272" t="s">
        <v>1049</v>
      </c>
      <c r="G1272" t="s">
        <v>124</v>
      </c>
      <c r="H1272" t="s">
        <v>2700</v>
      </c>
    </row>
    <row r="1273" spans="1:8" ht="15" customHeight="1" x14ac:dyDescent="0.25">
      <c r="A1273" t="s">
        <v>2280</v>
      </c>
      <c r="B1273" t="s">
        <v>2281</v>
      </c>
      <c r="C1273" s="1">
        <v>46176</v>
      </c>
      <c r="D1273" s="5">
        <v>5.52</v>
      </c>
      <c r="E1273" t="s">
        <v>558</v>
      </c>
      <c r="F1273" t="s">
        <v>1049</v>
      </c>
      <c r="G1273" t="s">
        <v>128</v>
      </c>
      <c r="H1273" t="s">
        <v>2701</v>
      </c>
    </row>
    <row r="1274" spans="1:8" ht="15" customHeight="1" x14ac:dyDescent="0.25">
      <c r="A1274" t="s">
        <v>2702</v>
      </c>
      <c r="B1274" t="s">
        <v>614</v>
      </c>
      <c r="C1274" s="1">
        <v>46176</v>
      </c>
      <c r="D1274" s="5">
        <v>69.599999999999994</v>
      </c>
      <c r="E1274" t="s">
        <v>558</v>
      </c>
      <c r="F1274" t="s">
        <v>1049</v>
      </c>
      <c r="G1274" t="s">
        <v>117</v>
      </c>
      <c r="H1274" t="s">
        <v>2703</v>
      </c>
    </row>
    <row r="1275" spans="1:8" ht="15" customHeight="1" x14ac:dyDescent="0.25">
      <c r="A1275" t="s">
        <v>579</v>
      </c>
      <c r="B1275" t="s">
        <v>580</v>
      </c>
      <c r="C1275" s="1">
        <v>46176</v>
      </c>
      <c r="D1275" s="5">
        <v>38.520000000000003</v>
      </c>
      <c r="E1275" t="s">
        <v>558</v>
      </c>
      <c r="F1275" t="s">
        <v>1049</v>
      </c>
      <c r="G1275" t="s">
        <v>128</v>
      </c>
      <c r="H1275" t="s">
        <v>2704</v>
      </c>
    </row>
    <row r="1276" spans="1:8" ht="15" customHeight="1" x14ac:dyDescent="0.25">
      <c r="A1276" t="s">
        <v>2705</v>
      </c>
      <c r="B1276" t="s">
        <v>2706</v>
      </c>
      <c r="C1276" s="1">
        <v>46176</v>
      </c>
      <c r="D1276" s="5">
        <v>38.520000000000003</v>
      </c>
      <c r="E1276" t="s">
        <v>558</v>
      </c>
      <c r="F1276" t="s">
        <v>1049</v>
      </c>
      <c r="G1276" t="s">
        <v>128</v>
      </c>
      <c r="H1276" t="s">
        <v>2707</v>
      </c>
    </row>
    <row r="1277" spans="1:8" ht="15" customHeight="1" x14ac:dyDescent="0.25">
      <c r="A1277" t="s">
        <v>2708</v>
      </c>
      <c r="B1277" t="s">
        <v>2709</v>
      </c>
      <c r="C1277" s="1">
        <v>46176</v>
      </c>
      <c r="D1277" s="5">
        <f>10.4*3</f>
        <v>31.200000000000003</v>
      </c>
      <c r="E1277" t="s">
        <v>558</v>
      </c>
      <c r="F1277" t="s">
        <v>1049</v>
      </c>
      <c r="G1277" t="s">
        <v>2710</v>
      </c>
      <c r="H1277" t="s">
        <v>2711</v>
      </c>
    </row>
    <row r="1278" spans="1:8" ht="15" customHeight="1" x14ac:dyDescent="0.25">
      <c r="A1278" t="s">
        <v>2712</v>
      </c>
      <c r="B1278" t="s">
        <v>2713</v>
      </c>
      <c r="C1278" s="1">
        <v>46176</v>
      </c>
      <c r="D1278" s="5">
        <f>15.77*3</f>
        <v>47.31</v>
      </c>
      <c r="E1278" t="s">
        <v>558</v>
      </c>
      <c r="F1278" t="s">
        <v>1049</v>
      </c>
      <c r="G1278" t="s">
        <v>296</v>
      </c>
      <c r="H1278" t="s">
        <v>2714</v>
      </c>
    </row>
    <row r="1279" spans="1:8" ht="15" customHeight="1" x14ac:dyDescent="0.25">
      <c r="A1279" t="s">
        <v>1778</v>
      </c>
      <c r="B1279" t="s">
        <v>2553</v>
      </c>
      <c r="C1279" s="1">
        <v>46176</v>
      </c>
      <c r="D1279" s="5">
        <f>1.84*3</f>
        <v>5.5200000000000005</v>
      </c>
      <c r="E1279" t="s">
        <v>558</v>
      </c>
      <c r="F1279" t="s">
        <v>1049</v>
      </c>
      <c r="G1279" t="s">
        <v>222</v>
      </c>
      <c r="H1279" t="s">
        <v>2715</v>
      </c>
    </row>
    <row r="1280" spans="1:8" ht="15" customHeight="1" x14ac:dyDescent="0.25">
      <c r="A1280" t="s">
        <v>2108</v>
      </c>
      <c r="B1280" t="s">
        <v>2109</v>
      </c>
      <c r="C1280" s="1">
        <v>46176</v>
      </c>
      <c r="D1280" s="5">
        <v>150.6</v>
      </c>
      <c r="E1280" t="s">
        <v>558</v>
      </c>
      <c r="F1280" t="s">
        <v>1049</v>
      </c>
      <c r="G1280" t="s">
        <v>128</v>
      </c>
      <c r="H1280" t="s">
        <v>2716</v>
      </c>
    </row>
    <row r="1281" spans="1:8" ht="15" customHeight="1" x14ac:dyDescent="0.25">
      <c r="A1281" t="s">
        <v>2717</v>
      </c>
      <c r="B1281" t="s">
        <v>2718</v>
      </c>
      <c r="C1281" s="1">
        <v>46176</v>
      </c>
      <c r="D1281" s="5">
        <v>26</v>
      </c>
      <c r="E1281" t="s">
        <v>558</v>
      </c>
      <c r="F1281" t="s">
        <v>1049</v>
      </c>
      <c r="G1281" t="s">
        <v>128</v>
      </c>
      <c r="H1281" t="s">
        <v>2719</v>
      </c>
    </row>
    <row r="1282" spans="1:8" ht="15" customHeight="1" x14ac:dyDescent="0.25">
      <c r="A1282" t="s">
        <v>2720</v>
      </c>
      <c r="B1282" t="s">
        <v>2721</v>
      </c>
      <c r="C1282" s="1">
        <v>46176</v>
      </c>
      <c r="D1282" s="5">
        <v>26</v>
      </c>
      <c r="E1282" t="s">
        <v>558</v>
      </c>
      <c r="F1282" t="s">
        <v>1049</v>
      </c>
      <c r="G1282" t="s">
        <v>128</v>
      </c>
      <c r="H1282" t="s">
        <v>2722</v>
      </c>
    </row>
    <row r="1283" spans="1:8" ht="15" customHeight="1" x14ac:dyDescent="0.25">
      <c r="A1283" t="s">
        <v>338</v>
      </c>
      <c r="B1283" t="s">
        <v>339</v>
      </c>
      <c r="C1283" s="1">
        <v>46176</v>
      </c>
      <c r="D1283" s="5">
        <v>26</v>
      </c>
      <c r="E1283" t="s">
        <v>558</v>
      </c>
      <c r="F1283" t="s">
        <v>1049</v>
      </c>
      <c r="G1283" t="s">
        <v>128</v>
      </c>
      <c r="H1283" t="s">
        <v>2723</v>
      </c>
    </row>
    <row r="1284" spans="1:8" ht="15" customHeight="1" x14ac:dyDescent="0.25">
      <c r="A1284" t="s">
        <v>2724</v>
      </c>
      <c r="B1284" t="s">
        <v>2725</v>
      </c>
      <c r="C1284" s="1">
        <v>46176</v>
      </c>
      <c r="D1284" s="5">
        <v>146.66999999999999</v>
      </c>
      <c r="E1284" t="s">
        <v>558</v>
      </c>
      <c r="F1284" t="s">
        <v>1049</v>
      </c>
      <c r="G1284" t="s">
        <v>128</v>
      </c>
      <c r="H1284" t="s">
        <v>2726</v>
      </c>
    </row>
    <row r="1285" spans="1:8" ht="15" customHeight="1" x14ac:dyDescent="0.25">
      <c r="A1285" t="s">
        <v>2724</v>
      </c>
      <c r="B1285" t="s">
        <v>2725</v>
      </c>
      <c r="C1285" s="1">
        <v>46176</v>
      </c>
      <c r="D1285" s="5">
        <v>150.6</v>
      </c>
      <c r="E1285" t="s">
        <v>558</v>
      </c>
      <c r="F1285" t="s">
        <v>1049</v>
      </c>
      <c r="G1285" t="s">
        <v>128</v>
      </c>
      <c r="H1285" t="s">
        <v>2727</v>
      </c>
    </row>
    <row r="1286" spans="1:8" ht="15" customHeight="1" x14ac:dyDescent="0.25">
      <c r="A1286" t="s">
        <v>2672</v>
      </c>
      <c r="B1286" t="s">
        <v>2673</v>
      </c>
      <c r="C1286" s="1">
        <v>46176</v>
      </c>
      <c r="D1286" s="5">
        <v>5.52</v>
      </c>
      <c r="E1286" t="s">
        <v>558</v>
      </c>
      <c r="F1286" t="s">
        <v>1049</v>
      </c>
      <c r="G1286" t="s">
        <v>128</v>
      </c>
      <c r="H1286" t="s">
        <v>2728</v>
      </c>
    </row>
    <row r="1287" spans="1:8" ht="15" customHeight="1" x14ac:dyDescent="0.25">
      <c r="A1287" t="s">
        <v>2546</v>
      </c>
      <c r="B1287" t="s">
        <v>1884</v>
      </c>
      <c r="C1287" s="1">
        <v>46176</v>
      </c>
      <c r="D1287" s="5">
        <v>38.520000000000003</v>
      </c>
      <c r="E1287" t="s">
        <v>558</v>
      </c>
      <c r="F1287" t="s">
        <v>1049</v>
      </c>
      <c r="G1287" t="s">
        <v>222</v>
      </c>
      <c r="H1287" t="s">
        <v>2729</v>
      </c>
    </row>
    <row r="1288" spans="1:8" ht="15" customHeight="1" x14ac:dyDescent="0.25">
      <c r="A1288" t="s">
        <v>2540</v>
      </c>
      <c r="B1288" t="s">
        <v>2730</v>
      </c>
      <c r="C1288" s="1">
        <v>46176</v>
      </c>
      <c r="D1288" s="5">
        <v>3.68</v>
      </c>
      <c r="E1288" t="s">
        <v>558</v>
      </c>
      <c r="F1288" t="s">
        <v>1049</v>
      </c>
      <c r="G1288" t="s">
        <v>2538</v>
      </c>
      <c r="H1288" t="s">
        <v>2731</v>
      </c>
    </row>
    <row r="1289" spans="1:8" ht="15" customHeight="1" x14ac:dyDescent="0.25">
      <c r="A1289" t="s">
        <v>2732</v>
      </c>
      <c r="B1289" t="s">
        <v>2733</v>
      </c>
      <c r="C1289" s="1">
        <v>46176</v>
      </c>
      <c r="D1289" s="5">
        <v>152.53</v>
      </c>
      <c r="E1289" t="s">
        <v>558</v>
      </c>
      <c r="F1289" t="s">
        <v>1049</v>
      </c>
      <c r="G1289" t="s">
        <v>148</v>
      </c>
      <c r="H1289" t="s">
        <v>2734</v>
      </c>
    </row>
    <row r="1290" spans="1:8" ht="15" customHeight="1" x14ac:dyDescent="0.25">
      <c r="A1290" t="s">
        <v>2732</v>
      </c>
      <c r="B1290" t="s">
        <v>2733</v>
      </c>
      <c r="C1290" s="1">
        <v>46176</v>
      </c>
      <c r="D1290" s="5">
        <v>126.64</v>
      </c>
      <c r="E1290" t="s">
        <v>558</v>
      </c>
      <c r="F1290" t="s">
        <v>1049</v>
      </c>
      <c r="G1290" t="s">
        <v>148</v>
      </c>
      <c r="H1290" t="s">
        <v>2735</v>
      </c>
    </row>
    <row r="1291" spans="1:8" ht="15" customHeight="1" x14ac:dyDescent="0.25">
      <c r="A1291" t="s">
        <v>2672</v>
      </c>
      <c r="B1291" t="s">
        <v>2673</v>
      </c>
      <c r="C1291" s="1">
        <v>46176</v>
      </c>
      <c r="D1291" s="5">
        <v>5.52</v>
      </c>
      <c r="E1291" t="s">
        <v>558</v>
      </c>
      <c r="F1291" t="s">
        <v>1049</v>
      </c>
      <c r="G1291" t="s">
        <v>222</v>
      </c>
      <c r="H1291" t="s">
        <v>2736</v>
      </c>
    </row>
    <row r="1292" spans="1:8" ht="15" customHeight="1" x14ac:dyDescent="0.25">
      <c r="A1292" t="s">
        <v>1828</v>
      </c>
      <c r="B1292" t="s">
        <v>1829</v>
      </c>
      <c r="C1292" s="1">
        <v>46176</v>
      </c>
      <c r="D1292" s="5">
        <v>53.7</v>
      </c>
      <c r="E1292" t="s">
        <v>558</v>
      </c>
      <c r="F1292" t="s">
        <v>1049</v>
      </c>
      <c r="G1292" t="s">
        <v>117</v>
      </c>
      <c r="H1292" t="s">
        <v>2737</v>
      </c>
    </row>
    <row r="1293" spans="1:8" ht="15" customHeight="1" x14ac:dyDescent="0.3">
      <c r="A1293" t="s">
        <v>1521</v>
      </c>
      <c r="B1293" s="14" t="s">
        <v>1522</v>
      </c>
      <c r="C1293" s="1">
        <v>46176</v>
      </c>
      <c r="D1293" s="5">
        <v>3</v>
      </c>
      <c r="E1293" t="s">
        <v>558</v>
      </c>
      <c r="F1293" t="s">
        <v>1049</v>
      </c>
      <c r="G1293" t="s">
        <v>117</v>
      </c>
      <c r="H1293" t="s">
        <v>2738</v>
      </c>
    </row>
    <row r="1294" spans="1:8" ht="15" customHeight="1" x14ac:dyDescent="0.25">
      <c r="A1294" t="s">
        <v>284</v>
      </c>
      <c r="B1294" t="s">
        <v>2739</v>
      </c>
      <c r="C1294" s="1">
        <v>46176</v>
      </c>
      <c r="D1294" s="5">
        <v>3</v>
      </c>
      <c r="E1294" t="s">
        <v>558</v>
      </c>
      <c r="F1294" t="s">
        <v>1049</v>
      </c>
      <c r="G1294" t="s">
        <v>117</v>
      </c>
      <c r="H1294" t="s">
        <v>2740</v>
      </c>
    </row>
    <row r="1295" spans="1:8" ht="15" customHeight="1" x14ac:dyDescent="0.25">
      <c r="A1295" t="s">
        <v>2741</v>
      </c>
      <c r="B1295" t="s">
        <v>2742</v>
      </c>
      <c r="C1295" s="1">
        <v>46176</v>
      </c>
      <c r="D1295" s="5">
        <v>52.2</v>
      </c>
      <c r="E1295" t="s">
        <v>558</v>
      </c>
      <c r="F1295" t="s">
        <v>1049</v>
      </c>
      <c r="G1295" t="s">
        <v>117</v>
      </c>
      <c r="H1295" t="s">
        <v>2743</v>
      </c>
    </row>
    <row r="1296" spans="1:8" ht="15" customHeight="1" x14ac:dyDescent="0.25">
      <c r="A1296" t="s">
        <v>2744</v>
      </c>
      <c r="B1296" t="s">
        <v>2745</v>
      </c>
      <c r="C1296" s="1">
        <v>46176</v>
      </c>
      <c r="D1296" s="5">
        <v>146.66999999999999</v>
      </c>
      <c r="E1296" t="s">
        <v>558</v>
      </c>
      <c r="F1296" t="s">
        <v>1049</v>
      </c>
      <c r="G1296" t="s">
        <v>264</v>
      </c>
      <c r="H1296" t="s">
        <v>2746</v>
      </c>
    </row>
    <row r="1297" spans="1:8" ht="15" customHeight="1" x14ac:dyDescent="0.25">
      <c r="A1297" t="s">
        <v>2747</v>
      </c>
      <c r="B1297" t="s">
        <v>2748</v>
      </c>
      <c r="C1297" s="1">
        <v>46176</v>
      </c>
      <c r="D1297" s="5">
        <v>52.2</v>
      </c>
      <c r="E1297" t="s">
        <v>558</v>
      </c>
      <c r="F1297" t="s">
        <v>1049</v>
      </c>
      <c r="G1297" t="s">
        <v>117</v>
      </c>
      <c r="H1297" t="s">
        <v>2749</v>
      </c>
    </row>
    <row r="1298" spans="1:8" ht="15" customHeight="1" x14ac:dyDescent="0.25">
      <c r="A1298" t="s">
        <v>1536</v>
      </c>
      <c r="B1298" t="s">
        <v>1537</v>
      </c>
      <c r="C1298" s="1">
        <v>46176</v>
      </c>
      <c r="D1298" s="5">
        <v>3.86</v>
      </c>
      <c r="E1298" t="s">
        <v>558</v>
      </c>
      <c r="F1298" t="s">
        <v>1049</v>
      </c>
      <c r="G1298" t="s">
        <v>1502</v>
      </c>
      <c r="H1298" t="s">
        <v>2750</v>
      </c>
    </row>
    <row r="1299" spans="1:8" ht="15" customHeight="1" x14ac:dyDescent="0.25">
      <c r="A1299" t="s">
        <v>2751</v>
      </c>
      <c r="B1299" t="s">
        <v>2752</v>
      </c>
      <c r="C1299" s="1">
        <v>46176</v>
      </c>
      <c r="D1299" s="5">
        <v>31.2</v>
      </c>
      <c r="E1299" t="s">
        <v>558</v>
      </c>
      <c r="F1299" t="s">
        <v>1049</v>
      </c>
      <c r="G1299" t="s">
        <v>2753</v>
      </c>
      <c r="H1299" t="s">
        <v>2754</v>
      </c>
    </row>
    <row r="1300" spans="1:8" ht="15" customHeight="1" x14ac:dyDescent="0.25">
      <c r="A1300" t="s">
        <v>2755</v>
      </c>
      <c r="B1300" t="s">
        <v>2756</v>
      </c>
      <c r="C1300" s="1">
        <v>46176</v>
      </c>
      <c r="D1300" s="5">
        <v>152.1</v>
      </c>
      <c r="E1300" t="s">
        <v>558</v>
      </c>
      <c r="F1300" t="s">
        <v>1049</v>
      </c>
      <c r="G1300" t="s">
        <v>2307</v>
      </c>
      <c r="H1300" t="s">
        <v>2757</v>
      </c>
    </row>
    <row r="1301" spans="1:8" ht="15" customHeight="1" x14ac:dyDescent="0.25">
      <c r="A1301" t="s">
        <v>2758</v>
      </c>
      <c r="B1301" t="s">
        <v>2759</v>
      </c>
      <c r="C1301" s="1">
        <v>46178</v>
      </c>
      <c r="D1301" s="5">
        <v>141.79</v>
      </c>
      <c r="E1301" t="s">
        <v>558</v>
      </c>
      <c r="F1301" t="s">
        <v>1049</v>
      </c>
      <c r="G1301" t="s">
        <v>124</v>
      </c>
      <c r="H1301" t="s">
        <v>2760</v>
      </c>
    </row>
    <row r="1302" spans="1:8" ht="15" customHeight="1" x14ac:dyDescent="0.25">
      <c r="A1302" t="s">
        <v>1526</v>
      </c>
      <c r="B1302" t="s">
        <v>1527</v>
      </c>
      <c r="C1302" s="1">
        <v>46178</v>
      </c>
      <c r="D1302" s="5">
        <v>26</v>
      </c>
      <c r="E1302" t="s">
        <v>558</v>
      </c>
      <c r="F1302" t="s">
        <v>1049</v>
      </c>
      <c r="G1302" t="s">
        <v>128</v>
      </c>
      <c r="H1302" t="s">
        <v>2761</v>
      </c>
    </row>
    <row r="1303" spans="1:8" ht="15" customHeight="1" x14ac:dyDescent="0.25">
      <c r="A1303" t="s">
        <v>2762</v>
      </c>
      <c r="B1303" t="s">
        <v>2763</v>
      </c>
      <c r="C1303" s="1">
        <v>46178</v>
      </c>
      <c r="D1303" s="5">
        <v>141.79</v>
      </c>
      <c r="E1303" t="s">
        <v>558</v>
      </c>
      <c r="F1303" t="s">
        <v>1049</v>
      </c>
      <c r="G1303" t="s">
        <v>124</v>
      </c>
      <c r="H1303" t="s">
        <v>2764</v>
      </c>
    </row>
    <row r="1304" spans="1:8" ht="15" customHeight="1" x14ac:dyDescent="0.25">
      <c r="A1304" t="s">
        <v>1916</v>
      </c>
      <c r="B1304" t="s">
        <v>2765</v>
      </c>
      <c r="C1304" s="1">
        <v>46178</v>
      </c>
      <c r="D1304" s="5">
        <v>26</v>
      </c>
      <c r="E1304" t="s">
        <v>558</v>
      </c>
      <c r="F1304" t="s">
        <v>1049</v>
      </c>
      <c r="G1304" t="s">
        <v>128</v>
      </c>
      <c r="H1304" t="s">
        <v>2766</v>
      </c>
    </row>
    <row r="1305" spans="1:8" ht="15" customHeight="1" x14ac:dyDescent="0.25">
      <c r="A1305" t="s">
        <v>704</v>
      </c>
      <c r="B1305" t="s">
        <v>705</v>
      </c>
      <c r="C1305" s="1">
        <v>46178</v>
      </c>
      <c r="D1305" s="5">
        <v>26</v>
      </c>
      <c r="E1305" t="s">
        <v>558</v>
      </c>
      <c r="F1305" t="s">
        <v>1049</v>
      </c>
      <c r="G1305" t="s">
        <v>128</v>
      </c>
      <c r="H1305" t="s">
        <v>2767</v>
      </c>
    </row>
    <row r="1306" spans="1:8" ht="15" customHeight="1" x14ac:dyDescent="0.25">
      <c r="A1306" t="s">
        <v>2664</v>
      </c>
      <c r="B1306" t="s">
        <v>2665</v>
      </c>
      <c r="C1306" s="1">
        <v>46178</v>
      </c>
      <c r="D1306" s="5">
        <v>5.52</v>
      </c>
      <c r="E1306" t="s">
        <v>558</v>
      </c>
      <c r="F1306" t="s">
        <v>1049</v>
      </c>
      <c r="G1306" t="s">
        <v>124</v>
      </c>
      <c r="H1306" t="s">
        <v>2768</v>
      </c>
    </row>
    <row r="1307" spans="1:8" ht="15" customHeight="1" x14ac:dyDescent="0.25">
      <c r="A1307" t="s">
        <v>2769</v>
      </c>
      <c r="B1307" t="s">
        <v>2770</v>
      </c>
      <c r="C1307" s="1">
        <v>46178</v>
      </c>
      <c r="D1307" s="5">
        <v>38.520000000000003</v>
      </c>
      <c r="E1307" t="s">
        <v>558</v>
      </c>
      <c r="F1307" t="s">
        <v>1049</v>
      </c>
      <c r="G1307" t="s">
        <v>260</v>
      </c>
      <c r="H1307" t="s">
        <v>2771</v>
      </c>
    </row>
    <row r="1308" spans="1:8" ht="15" customHeight="1" x14ac:dyDescent="0.25">
      <c r="A1308" t="s">
        <v>686</v>
      </c>
      <c r="B1308" t="s">
        <v>2772</v>
      </c>
      <c r="C1308" s="1">
        <v>46178</v>
      </c>
      <c r="D1308" s="5">
        <v>5.52</v>
      </c>
      <c r="E1308" t="s">
        <v>558</v>
      </c>
      <c r="F1308" t="s">
        <v>1049</v>
      </c>
      <c r="G1308" t="s">
        <v>292</v>
      </c>
      <c r="H1308" t="s">
        <v>2773</v>
      </c>
    </row>
    <row r="1309" spans="1:8" ht="15" customHeight="1" x14ac:dyDescent="0.25">
      <c r="A1309" t="s">
        <v>481</v>
      </c>
      <c r="B1309" t="s">
        <v>482</v>
      </c>
      <c r="C1309" s="1">
        <v>46178</v>
      </c>
      <c r="D1309" s="5">
        <v>26</v>
      </c>
      <c r="E1309" t="s">
        <v>558</v>
      </c>
      <c r="F1309" t="s">
        <v>1049</v>
      </c>
      <c r="G1309" t="s">
        <v>128</v>
      </c>
      <c r="H1309" t="s">
        <v>2774</v>
      </c>
    </row>
    <row r="1310" spans="1:8" ht="15" customHeight="1" x14ac:dyDescent="0.25">
      <c r="A1310" t="s">
        <v>1176</v>
      </c>
      <c r="B1310" t="s">
        <v>2775</v>
      </c>
      <c r="C1310" s="1">
        <v>46178</v>
      </c>
      <c r="D1310" s="5">
        <v>5.52</v>
      </c>
      <c r="E1310" t="s">
        <v>558</v>
      </c>
      <c r="F1310" t="s">
        <v>1049</v>
      </c>
      <c r="G1310" t="s">
        <v>128</v>
      </c>
      <c r="H1310" t="s">
        <v>2776</v>
      </c>
    </row>
    <row r="1311" spans="1:8" ht="15" customHeight="1" x14ac:dyDescent="0.25">
      <c r="A1311" t="s">
        <v>1140</v>
      </c>
      <c r="B1311" t="s">
        <v>1141</v>
      </c>
      <c r="C1311" s="1">
        <v>46178</v>
      </c>
      <c r="D1311" s="5">
        <v>5.52</v>
      </c>
      <c r="E1311" t="s">
        <v>558</v>
      </c>
      <c r="F1311" t="s">
        <v>1049</v>
      </c>
      <c r="G1311" t="s">
        <v>128</v>
      </c>
      <c r="H1311" t="s">
        <v>2777</v>
      </c>
    </row>
    <row r="1312" spans="1:8" ht="15" customHeight="1" x14ac:dyDescent="0.25">
      <c r="A1312" t="s">
        <v>1709</v>
      </c>
      <c r="B1312" t="s">
        <v>1710</v>
      </c>
      <c r="C1312" s="1">
        <v>46178</v>
      </c>
      <c r="D1312" s="5">
        <v>6</v>
      </c>
      <c r="E1312" t="s">
        <v>558</v>
      </c>
      <c r="F1312" t="s">
        <v>1049</v>
      </c>
      <c r="G1312" t="s">
        <v>124</v>
      </c>
      <c r="H1312" t="s">
        <v>2778</v>
      </c>
    </row>
    <row r="1313" spans="1:8" ht="15" customHeight="1" x14ac:dyDescent="0.25">
      <c r="A1313" t="s">
        <v>1329</v>
      </c>
      <c r="B1313" t="s">
        <v>1330</v>
      </c>
      <c r="C1313" s="1">
        <v>46178</v>
      </c>
      <c r="D1313" s="5">
        <v>5.52</v>
      </c>
      <c r="E1313" t="s">
        <v>558</v>
      </c>
      <c r="F1313" t="s">
        <v>1049</v>
      </c>
      <c r="G1313" t="s">
        <v>128</v>
      </c>
      <c r="H1313" t="s">
        <v>2779</v>
      </c>
    </row>
    <row r="1314" spans="1:8" ht="15" customHeight="1" x14ac:dyDescent="0.25">
      <c r="A1314" t="s">
        <v>1319</v>
      </c>
      <c r="B1314" t="s">
        <v>1320</v>
      </c>
      <c r="C1314" s="1">
        <v>46178</v>
      </c>
      <c r="D1314" s="5">
        <v>5.52</v>
      </c>
      <c r="E1314" t="s">
        <v>558</v>
      </c>
      <c r="F1314" t="s">
        <v>1049</v>
      </c>
      <c r="G1314" t="s">
        <v>128</v>
      </c>
      <c r="H1314" t="s">
        <v>2780</v>
      </c>
    </row>
    <row r="1315" spans="1:8" ht="15" customHeight="1" x14ac:dyDescent="0.25">
      <c r="A1315" t="s">
        <v>2781</v>
      </c>
      <c r="B1315" t="s">
        <v>2782</v>
      </c>
      <c r="C1315" s="1">
        <v>46178</v>
      </c>
      <c r="D1315" s="5">
        <v>146.66999999999999</v>
      </c>
      <c r="E1315" t="s">
        <v>558</v>
      </c>
      <c r="F1315" t="s">
        <v>1049</v>
      </c>
      <c r="G1315" t="s">
        <v>128</v>
      </c>
      <c r="H1315" t="s">
        <v>2783</v>
      </c>
    </row>
    <row r="1316" spans="1:8" ht="15" customHeight="1" x14ac:dyDescent="0.25">
      <c r="A1316" t="s">
        <v>2784</v>
      </c>
      <c r="B1316" t="s">
        <v>2785</v>
      </c>
      <c r="C1316" s="1">
        <v>46178</v>
      </c>
      <c r="D1316" s="5">
        <v>146.66999999999999</v>
      </c>
      <c r="E1316" t="s">
        <v>558</v>
      </c>
      <c r="F1316" t="s">
        <v>1049</v>
      </c>
      <c r="G1316" t="s">
        <v>222</v>
      </c>
      <c r="H1316" t="s">
        <v>2786</v>
      </c>
    </row>
    <row r="1317" spans="1:8" ht="15" customHeight="1" x14ac:dyDescent="0.25">
      <c r="A1317" t="s">
        <v>2108</v>
      </c>
      <c r="B1317" t="s">
        <v>2109</v>
      </c>
      <c r="C1317" s="1">
        <v>46178</v>
      </c>
      <c r="D1317" s="5">
        <v>26</v>
      </c>
      <c r="E1317" t="s">
        <v>558</v>
      </c>
      <c r="F1317" t="s">
        <v>1049</v>
      </c>
      <c r="G1317" t="s">
        <v>128</v>
      </c>
      <c r="H1317" t="s">
        <v>2787</v>
      </c>
    </row>
    <row r="1318" spans="1:8" ht="15" customHeight="1" x14ac:dyDescent="0.25">
      <c r="A1318" t="s">
        <v>2788</v>
      </c>
      <c r="B1318" t="s">
        <v>215</v>
      </c>
      <c r="C1318" s="1">
        <v>46178</v>
      </c>
      <c r="D1318" s="5">
        <v>146.66999999999999</v>
      </c>
      <c r="E1318" t="s">
        <v>558</v>
      </c>
      <c r="F1318" t="s">
        <v>1049</v>
      </c>
      <c r="G1318" t="s">
        <v>128</v>
      </c>
      <c r="H1318" t="s">
        <v>2789</v>
      </c>
    </row>
    <row r="1319" spans="1:8" ht="15" customHeight="1" x14ac:dyDescent="0.25">
      <c r="A1319" t="s">
        <v>2790</v>
      </c>
      <c r="B1319" t="s">
        <v>2791</v>
      </c>
      <c r="C1319" s="1">
        <v>46178</v>
      </c>
      <c r="D1319" s="5">
        <v>26</v>
      </c>
      <c r="E1319" t="s">
        <v>558</v>
      </c>
      <c r="F1319" t="s">
        <v>1049</v>
      </c>
      <c r="G1319" t="s">
        <v>128</v>
      </c>
      <c r="H1319" t="s">
        <v>2792</v>
      </c>
    </row>
    <row r="1320" spans="1:8" ht="15" customHeight="1" x14ac:dyDescent="0.25">
      <c r="A1320" t="s">
        <v>2793</v>
      </c>
      <c r="B1320" t="s">
        <v>2794</v>
      </c>
      <c r="C1320" s="1">
        <v>46178</v>
      </c>
      <c r="D1320" s="5">
        <v>146.66999999999999</v>
      </c>
      <c r="E1320" t="s">
        <v>558</v>
      </c>
      <c r="F1320" t="s">
        <v>1049</v>
      </c>
      <c r="G1320" t="s">
        <v>128</v>
      </c>
      <c r="H1320" t="s">
        <v>2795</v>
      </c>
    </row>
    <row r="1321" spans="1:8" ht="15" customHeight="1" x14ac:dyDescent="0.25">
      <c r="A1321" t="s">
        <v>2796</v>
      </c>
      <c r="B1321" t="s">
        <v>2797</v>
      </c>
      <c r="C1321" s="1">
        <v>46178</v>
      </c>
      <c r="D1321" s="5">
        <v>146.66999999999999</v>
      </c>
      <c r="E1321" t="s">
        <v>558</v>
      </c>
      <c r="F1321" t="s">
        <v>1049</v>
      </c>
      <c r="G1321" t="s">
        <v>128</v>
      </c>
      <c r="H1321" t="s">
        <v>2798</v>
      </c>
    </row>
    <row r="1322" spans="1:8" ht="15" customHeight="1" x14ac:dyDescent="0.25">
      <c r="A1322" t="s">
        <v>2799</v>
      </c>
      <c r="B1322" t="s">
        <v>2800</v>
      </c>
      <c r="C1322" s="1">
        <v>46178</v>
      </c>
      <c r="D1322" s="5">
        <v>146.66999999999999</v>
      </c>
      <c r="E1322" t="s">
        <v>558</v>
      </c>
      <c r="F1322" t="s">
        <v>1049</v>
      </c>
      <c r="G1322" t="s">
        <v>128</v>
      </c>
      <c r="H1322" t="s">
        <v>2801</v>
      </c>
    </row>
    <row r="1323" spans="1:8" ht="15" customHeight="1" x14ac:dyDescent="0.25">
      <c r="A1323" t="s">
        <v>2802</v>
      </c>
      <c r="B1323" t="s">
        <v>2803</v>
      </c>
      <c r="C1323" s="1">
        <v>46178</v>
      </c>
      <c r="D1323" s="5">
        <v>38.520000000000003</v>
      </c>
      <c r="E1323" t="s">
        <v>558</v>
      </c>
      <c r="F1323" t="s">
        <v>1049</v>
      </c>
      <c r="G1323" t="s">
        <v>128</v>
      </c>
      <c r="H1323" t="s">
        <v>2804</v>
      </c>
    </row>
    <row r="1324" spans="1:8" ht="15" customHeight="1" x14ac:dyDescent="0.25">
      <c r="A1324" t="s">
        <v>2805</v>
      </c>
      <c r="B1324" t="s">
        <v>2806</v>
      </c>
      <c r="C1324" s="1">
        <v>46178</v>
      </c>
      <c r="D1324" s="5">
        <v>38.520000000000003</v>
      </c>
      <c r="E1324" t="s">
        <v>558</v>
      </c>
      <c r="F1324" t="s">
        <v>1049</v>
      </c>
      <c r="G1324" t="s">
        <v>128</v>
      </c>
      <c r="H1324" t="s">
        <v>2807</v>
      </c>
    </row>
    <row r="1325" spans="1:8" ht="15" customHeight="1" x14ac:dyDescent="0.25">
      <c r="A1325" t="s">
        <v>2808</v>
      </c>
      <c r="B1325" t="s">
        <v>2809</v>
      </c>
      <c r="C1325" s="1">
        <v>46178</v>
      </c>
      <c r="D1325" s="5">
        <v>38.520000000000003</v>
      </c>
      <c r="E1325" t="s">
        <v>558</v>
      </c>
      <c r="F1325" t="s">
        <v>1049</v>
      </c>
      <c r="G1325" t="s">
        <v>128</v>
      </c>
      <c r="H1325" t="s">
        <v>2810</v>
      </c>
    </row>
    <row r="1326" spans="1:8" ht="15" customHeight="1" x14ac:dyDescent="0.25">
      <c r="A1326" t="s">
        <v>2811</v>
      </c>
      <c r="B1326" t="s">
        <v>2812</v>
      </c>
      <c r="C1326" s="1">
        <v>46178</v>
      </c>
      <c r="D1326" s="5">
        <v>47.31</v>
      </c>
      <c r="E1326" t="s">
        <v>558</v>
      </c>
      <c r="F1326" t="s">
        <v>1049</v>
      </c>
      <c r="G1326" t="s">
        <v>2538</v>
      </c>
      <c r="H1326" t="s">
        <v>2813</v>
      </c>
    </row>
    <row r="1327" spans="1:8" ht="15" customHeight="1" x14ac:dyDescent="0.25">
      <c r="A1327" t="s">
        <v>1269</v>
      </c>
      <c r="B1327" t="s">
        <v>1270</v>
      </c>
      <c r="C1327" s="1">
        <v>46178</v>
      </c>
      <c r="D1327" s="5">
        <v>3</v>
      </c>
      <c r="E1327" t="s">
        <v>558</v>
      </c>
      <c r="F1327" t="s">
        <v>1049</v>
      </c>
      <c r="G1327" t="s">
        <v>117</v>
      </c>
      <c r="H1327" t="s">
        <v>2814</v>
      </c>
    </row>
    <row r="1328" spans="1:8" ht="15" customHeight="1" x14ac:dyDescent="0.25">
      <c r="A1328" t="s">
        <v>2352</v>
      </c>
      <c r="B1328" t="s">
        <v>2353</v>
      </c>
      <c r="C1328" s="1">
        <v>46178</v>
      </c>
      <c r="D1328" s="5">
        <v>3</v>
      </c>
      <c r="E1328" t="s">
        <v>558</v>
      </c>
      <c r="F1328" t="s">
        <v>1049</v>
      </c>
      <c r="G1328" t="s">
        <v>117</v>
      </c>
      <c r="H1328" t="s">
        <v>2815</v>
      </c>
    </row>
    <row r="1329" spans="1:8" ht="15" customHeight="1" x14ac:dyDescent="0.25">
      <c r="A1329" t="s">
        <v>752</v>
      </c>
      <c r="B1329" t="s">
        <v>753</v>
      </c>
      <c r="C1329" s="1">
        <v>46178</v>
      </c>
      <c r="D1329" s="5">
        <v>26</v>
      </c>
      <c r="E1329" t="s">
        <v>558</v>
      </c>
      <c r="F1329" t="s">
        <v>1049</v>
      </c>
      <c r="G1329" t="s">
        <v>128</v>
      </c>
      <c r="H1329" t="s">
        <v>2816</v>
      </c>
    </row>
    <row r="1330" spans="1:8" ht="15" customHeight="1" x14ac:dyDescent="0.25">
      <c r="A1330" t="s">
        <v>380</v>
      </c>
      <c r="B1330" t="s">
        <v>381</v>
      </c>
      <c r="C1330" s="1">
        <v>46178</v>
      </c>
      <c r="D1330" s="5">
        <v>26</v>
      </c>
      <c r="E1330" t="s">
        <v>558</v>
      </c>
      <c r="F1330" t="s">
        <v>1049</v>
      </c>
      <c r="G1330" t="s">
        <v>128</v>
      </c>
      <c r="H1330" t="s">
        <v>2817</v>
      </c>
    </row>
    <row r="1331" spans="1:8" ht="15" customHeight="1" x14ac:dyDescent="0.25">
      <c r="A1331" t="s">
        <v>2587</v>
      </c>
      <c r="B1331" t="s">
        <v>2210</v>
      </c>
      <c r="C1331" s="1">
        <v>46178</v>
      </c>
      <c r="D1331" s="5">
        <v>150.6</v>
      </c>
      <c r="E1331" t="s">
        <v>558</v>
      </c>
      <c r="F1331" t="s">
        <v>1049</v>
      </c>
      <c r="G1331" t="s">
        <v>128</v>
      </c>
      <c r="H1331" t="s">
        <v>2818</v>
      </c>
    </row>
    <row r="1332" spans="1:8" ht="15" customHeight="1" x14ac:dyDescent="0.25">
      <c r="A1332" t="s">
        <v>2819</v>
      </c>
      <c r="B1332" t="s">
        <v>2820</v>
      </c>
      <c r="C1332" s="1">
        <v>46178</v>
      </c>
      <c r="D1332" s="5">
        <v>150.6</v>
      </c>
      <c r="E1332" t="s">
        <v>558</v>
      </c>
      <c r="F1332" t="s">
        <v>1049</v>
      </c>
      <c r="G1332" t="s">
        <v>128</v>
      </c>
      <c r="H1332" t="s">
        <v>2821</v>
      </c>
    </row>
    <row r="1333" spans="1:8" ht="15" customHeight="1" x14ac:dyDescent="0.25">
      <c r="A1333" t="s">
        <v>412</v>
      </c>
      <c r="B1333" t="s">
        <v>413</v>
      </c>
      <c r="C1333" s="1">
        <v>46178</v>
      </c>
      <c r="D1333" s="5">
        <v>150.6</v>
      </c>
      <c r="E1333" t="s">
        <v>558</v>
      </c>
      <c r="F1333" t="s">
        <v>1049</v>
      </c>
      <c r="G1333" t="s">
        <v>128</v>
      </c>
      <c r="H1333" t="s">
        <v>2822</v>
      </c>
    </row>
    <row r="1334" spans="1:8" ht="15" customHeight="1" x14ac:dyDescent="0.25">
      <c r="A1334" t="s">
        <v>2823</v>
      </c>
      <c r="B1334" t="s">
        <v>2824</v>
      </c>
      <c r="C1334" s="1">
        <v>46178</v>
      </c>
      <c r="D1334" s="5">
        <v>150.6</v>
      </c>
      <c r="E1334" t="s">
        <v>558</v>
      </c>
      <c r="F1334" t="s">
        <v>1049</v>
      </c>
      <c r="G1334" t="s">
        <v>128</v>
      </c>
      <c r="H1334" t="s">
        <v>2825</v>
      </c>
    </row>
    <row r="1335" spans="1:8" ht="15" customHeight="1" x14ac:dyDescent="0.25">
      <c r="A1335" t="s">
        <v>15</v>
      </c>
      <c r="B1335" t="s">
        <v>383</v>
      </c>
      <c r="C1335" s="1">
        <v>46178</v>
      </c>
      <c r="D1335" s="5">
        <v>150.6</v>
      </c>
      <c r="E1335" t="s">
        <v>558</v>
      </c>
      <c r="F1335" t="s">
        <v>1049</v>
      </c>
      <c r="G1335" t="s">
        <v>128</v>
      </c>
      <c r="H1335" t="s">
        <v>2826</v>
      </c>
    </row>
    <row r="1336" spans="1:8" ht="15" customHeight="1" x14ac:dyDescent="0.25">
      <c r="A1336" t="s">
        <v>1464</v>
      </c>
      <c r="B1336" t="s">
        <v>1465</v>
      </c>
      <c r="C1336" s="1">
        <v>46178</v>
      </c>
      <c r="D1336" s="5">
        <v>150.6</v>
      </c>
      <c r="E1336" t="s">
        <v>558</v>
      </c>
      <c r="F1336" t="s">
        <v>1049</v>
      </c>
      <c r="G1336" t="s">
        <v>128</v>
      </c>
      <c r="H1336" t="s">
        <v>2827</v>
      </c>
    </row>
    <row r="1337" spans="1:8" ht="15" customHeight="1" x14ac:dyDescent="0.25">
      <c r="A1337" t="s">
        <v>792</v>
      </c>
      <c r="B1337" t="s">
        <v>793</v>
      </c>
      <c r="C1337" s="1">
        <v>46178</v>
      </c>
      <c r="D1337" s="5">
        <v>5.52</v>
      </c>
      <c r="E1337" t="s">
        <v>558</v>
      </c>
      <c r="F1337" t="s">
        <v>1049</v>
      </c>
      <c r="G1337" t="s">
        <v>1026</v>
      </c>
      <c r="H1337" t="s">
        <v>2828</v>
      </c>
    </row>
    <row r="1338" spans="1:8" ht="15" customHeight="1" x14ac:dyDescent="0.25">
      <c r="A1338" t="s">
        <v>2581</v>
      </c>
      <c r="B1338" t="s">
        <v>2582</v>
      </c>
      <c r="C1338" s="1">
        <v>46178</v>
      </c>
      <c r="D1338" s="5">
        <v>5.52</v>
      </c>
      <c r="E1338" t="s">
        <v>558</v>
      </c>
      <c r="F1338" t="s">
        <v>1049</v>
      </c>
      <c r="G1338" t="s">
        <v>1502</v>
      </c>
      <c r="H1338" t="s">
        <v>2829</v>
      </c>
    </row>
    <row r="1339" spans="1:8" ht="15" customHeight="1" x14ac:dyDescent="0.25">
      <c r="A1339" t="s">
        <v>2628</v>
      </c>
      <c r="B1339" t="s">
        <v>2629</v>
      </c>
      <c r="C1339" s="1">
        <v>46178</v>
      </c>
      <c r="D1339" s="5">
        <v>5.52</v>
      </c>
      <c r="E1339" t="s">
        <v>558</v>
      </c>
      <c r="F1339" t="s">
        <v>1049</v>
      </c>
      <c r="G1339" t="s">
        <v>1502</v>
      </c>
      <c r="H1339" t="s">
        <v>2830</v>
      </c>
    </row>
    <row r="1340" spans="1:8" ht="15" customHeight="1" x14ac:dyDescent="0.25">
      <c r="A1340" t="s">
        <v>415</v>
      </c>
      <c r="B1340" t="s">
        <v>416</v>
      </c>
      <c r="C1340" s="1">
        <v>46178</v>
      </c>
      <c r="D1340" s="5">
        <v>5.52</v>
      </c>
      <c r="E1340" t="s">
        <v>558</v>
      </c>
      <c r="F1340" t="s">
        <v>1049</v>
      </c>
      <c r="G1340" t="s">
        <v>1026</v>
      </c>
      <c r="H1340" t="s">
        <v>2831</v>
      </c>
    </row>
    <row r="1341" spans="1:8" ht="15" customHeight="1" x14ac:dyDescent="0.25">
      <c r="A1341" t="s">
        <v>2608</v>
      </c>
      <c r="B1341" t="s">
        <v>2609</v>
      </c>
      <c r="C1341" s="1">
        <v>46178</v>
      </c>
      <c r="D1341" s="5">
        <v>5.52</v>
      </c>
      <c r="E1341" t="s">
        <v>558</v>
      </c>
      <c r="F1341" t="s">
        <v>1049</v>
      </c>
      <c r="G1341" t="s">
        <v>222</v>
      </c>
      <c r="H1341" t="s">
        <v>2832</v>
      </c>
    </row>
    <row r="1342" spans="1:8" ht="15" customHeight="1" x14ac:dyDescent="0.25">
      <c r="A1342" t="s">
        <v>2833</v>
      </c>
      <c r="B1342" t="s">
        <v>2834</v>
      </c>
      <c r="C1342" s="1">
        <v>46178</v>
      </c>
      <c r="D1342" s="5">
        <v>26</v>
      </c>
      <c r="E1342" t="s">
        <v>558</v>
      </c>
      <c r="F1342" t="s">
        <v>1049</v>
      </c>
      <c r="G1342" t="s">
        <v>128</v>
      </c>
      <c r="H1342" t="s">
        <v>2835</v>
      </c>
    </row>
    <row r="1343" spans="1:8" ht="15" customHeight="1" x14ac:dyDescent="0.25">
      <c r="A1343" t="s">
        <v>2693</v>
      </c>
      <c r="B1343" t="s">
        <v>2694</v>
      </c>
      <c r="C1343" s="1">
        <v>46178</v>
      </c>
      <c r="D1343" s="5">
        <v>150.6</v>
      </c>
      <c r="E1343" t="s">
        <v>558</v>
      </c>
      <c r="F1343" t="s">
        <v>1049</v>
      </c>
      <c r="G1343" t="s">
        <v>128</v>
      </c>
      <c r="H1343" t="s">
        <v>2836</v>
      </c>
    </row>
    <row r="1344" spans="1:8" ht="15" customHeight="1" x14ac:dyDescent="0.25">
      <c r="A1344" t="s">
        <v>1375</v>
      </c>
      <c r="B1344" t="s">
        <v>1376</v>
      </c>
      <c r="C1344" s="1">
        <v>46178</v>
      </c>
      <c r="D1344" s="5">
        <v>5.52</v>
      </c>
      <c r="E1344" t="s">
        <v>558</v>
      </c>
      <c r="F1344" t="s">
        <v>1049</v>
      </c>
      <c r="G1344" t="s">
        <v>222</v>
      </c>
      <c r="H1344" t="s">
        <v>2837</v>
      </c>
    </row>
    <row r="1345" spans="1:8" ht="15" customHeight="1" x14ac:dyDescent="0.25">
      <c r="A1345" t="s">
        <v>1116</v>
      </c>
      <c r="B1345" t="s">
        <v>1117</v>
      </c>
      <c r="C1345" s="1">
        <v>46178</v>
      </c>
      <c r="D1345" s="5">
        <v>5.52</v>
      </c>
      <c r="E1345" t="s">
        <v>558</v>
      </c>
      <c r="F1345" t="s">
        <v>1049</v>
      </c>
      <c r="G1345" t="s">
        <v>128</v>
      </c>
      <c r="H1345" t="s">
        <v>2838</v>
      </c>
    </row>
    <row r="1346" spans="1:8" ht="15" customHeight="1" x14ac:dyDescent="0.25">
      <c r="A1346" t="s">
        <v>2839</v>
      </c>
      <c r="B1346" t="s">
        <v>2840</v>
      </c>
      <c r="C1346" s="1">
        <v>46178</v>
      </c>
      <c r="D1346" s="5">
        <v>146.66999999999999</v>
      </c>
      <c r="E1346" t="s">
        <v>558</v>
      </c>
      <c r="F1346" t="s">
        <v>1049</v>
      </c>
      <c r="G1346" t="s">
        <v>222</v>
      </c>
      <c r="H1346" t="s">
        <v>2841</v>
      </c>
    </row>
    <row r="1347" spans="1:8" ht="15" customHeight="1" x14ac:dyDescent="0.25">
      <c r="A1347" t="s">
        <v>1864</v>
      </c>
      <c r="B1347" t="s">
        <v>1865</v>
      </c>
      <c r="C1347" s="1">
        <v>46178</v>
      </c>
      <c r="D1347" s="5">
        <v>38.520000000000003</v>
      </c>
      <c r="E1347" t="s">
        <v>558</v>
      </c>
      <c r="F1347" t="s">
        <v>1049</v>
      </c>
      <c r="G1347" t="s">
        <v>222</v>
      </c>
      <c r="H1347" t="s">
        <v>2842</v>
      </c>
    </row>
    <row r="1348" spans="1:8" ht="15" customHeight="1" x14ac:dyDescent="0.25">
      <c r="A1348" t="s">
        <v>165</v>
      </c>
      <c r="B1348" t="s">
        <v>166</v>
      </c>
      <c r="C1348" s="1">
        <v>46178</v>
      </c>
      <c r="D1348" s="5">
        <v>150.6</v>
      </c>
      <c r="E1348" t="s">
        <v>558</v>
      </c>
      <c r="F1348" t="s">
        <v>1049</v>
      </c>
      <c r="G1348" t="s">
        <v>128</v>
      </c>
      <c r="H1348" t="s">
        <v>2843</v>
      </c>
    </row>
    <row r="1349" spans="1:8" ht="15" customHeight="1" x14ac:dyDescent="0.25">
      <c r="A1349" t="s">
        <v>2844</v>
      </c>
      <c r="B1349" t="s">
        <v>2845</v>
      </c>
      <c r="C1349" s="1">
        <v>46178</v>
      </c>
      <c r="D1349" s="5">
        <v>146.66999999999999</v>
      </c>
      <c r="E1349" t="s">
        <v>558</v>
      </c>
      <c r="F1349" t="s">
        <v>1049</v>
      </c>
      <c r="G1349" t="s">
        <v>222</v>
      </c>
      <c r="H1349" t="s">
        <v>2846</v>
      </c>
    </row>
    <row r="1350" spans="1:8" ht="15" customHeight="1" x14ac:dyDescent="0.25">
      <c r="A1350" t="s">
        <v>2847</v>
      </c>
      <c r="B1350" t="s">
        <v>2848</v>
      </c>
      <c r="C1350" s="1">
        <v>46178</v>
      </c>
      <c r="D1350" s="5">
        <v>146.66999999999999</v>
      </c>
      <c r="E1350" t="s">
        <v>558</v>
      </c>
      <c r="F1350" t="s">
        <v>1049</v>
      </c>
      <c r="G1350" t="s">
        <v>222</v>
      </c>
      <c r="H1350" t="s">
        <v>2849</v>
      </c>
    </row>
    <row r="1351" spans="1:8" ht="15" customHeight="1" x14ac:dyDescent="0.25">
      <c r="A1351" t="s">
        <v>2661</v>
      </c>
      <c r="B1351" t="s">
        <v>2662</v>
      </c>
      <c r="C1351" s="1">
        <v>46178</v>
      </c>
      <c r="D1351" s="5">
        <v>5.52</v>
      </c>
      <c r="E1351" t="s">
        <v>558</v>
      </c>
      <c r="F1351" t="s">
        <v>1049</v>
      </c>
      <c r="G1351" t="s">
        <v>2538</v>
      </c>
      <c r="H1351" t="s">
        <v>2850</v>
      </c>
    </row>
    <row r="1352" spans="1:8" ht="15" customHeight="1" x14ac:dyDescent="0.25">
      <c r="A1352" t="s">
        <v>2851</v>
      </c>
      <c r="B1352" t="s">
        <v>2852</v>
      </c>
      <c r="C1352" s="1">
        <v>46178</v>
      </c>
      <c r="D1352" s="5">
        <v>38.520000000000003</v>
      </c>
      <c r="E1352" t="s">
        <v>558</v>
      </c>
      <c r="F1352" t="s">
        <v>1049</v>
      </c>
      <c r="G1352" t="s">
        <v>260</v>
      </c>
      <c r="H1352" t="s">
        <v>2853</v>
      </c>
    </row>
    <row r="1353" spans="1:8" ht="15" customHeight="1" x14ac:dyDescent="0.25">
      <c r="A1353" t="s">
        <v>1179</v>
      </c>
      <c r="B1353" t="s">
        <v>1180</v>
      </c>
      <c r="C1353" s="1">
        <v>46179</v>
      </c>
      <c r="D1353" s="5">
        <v>3.86</v>
      </c>
      <c r="E1353" t="s">
        <v>558</v>
      </c>
      <c r="F1353" t="s">
        <v>1049</v>
      </c>
      <c r="G1353" t="s">
        <v>1689</v>
      </c>
      <c r="H1353" t="s">
        <v>2854</v>
      </c>
    </row>
    <row r="1354" spans="1:8" ht="15" customHeight="1" x14ac:dyDescent="0.25">
      <c r="A1354" t="s">
        <v>2543</v>
      </c>
      <c r="B1354" t="s">
        <v>947</v>
      </c>
      <c r="C1354" s="1">
        <v>46179</v>
      </c>
      <c r="D1354" s="5">
        <v>5.52</v>
      </c>
      <c r="E1354" t="s">
        <v>558</v>
      </c>
      <c r="F1354" t="s">
        <v>1049</v>
      </c>
      <c r="G1354" t="s">
        <v>2639</v>
      </c>
      <c r="H1354" t="s">
        <v>2855</v>
      </c>
    </row>
    <row r="1355" spans="1:8" ht="15" customHeight="1" x14ac:dyDescent="0.25">
      <c r="A1355" t="s">
        <v>2856</v>
      </c>
      <c r="B1355" t="s">
        <v>2857</v>
      </c>
      <c r="C1355" s="1">
        <v>46179</v>
      </c>
      <c r="D1355" s="5">
        <v>23.3</v>
      </c>
      <c r="E1355" t="s">
        <v>558</v>
      </c>
      <c r="F1355" t="s">
        <v>1049</v>
      </c>
      <c r="G1355" t="s">
        <v>264</v>
      </c>
      <c r="H1355" t="s">
        <v>2858</v>
      </c>
    </row>
    <row r="1356" spans="1:8" ht="15" customHeight="1" x14ac:dyDescent="0.25">
      <c r="A1356" t="s">
        <v>1778</v>
      </c>
      <c r="B1356" t="s">
        <v>2553</v>
      </c>
      <c r="C1356" s="1">
        <v>46179</v>
      </c>
      <c r="D1356" s="5">
        <v>5.52</v>
      </c>
      <c r="E1356" t="s">
        <v>558</v>
      </c>
      <c r="F1356" t="s">
        <v>1049</v>
      </c>
      <c r="G1356" t="s">
        <v>222</v>
      </c>
      <c r="H1356" t="s">
        <v>2859</v>
      </c>
    </row>
    <row r="1357" spans="1:8" ht="15" customHeight="1" x14ac:dyDescent="0.25">
      <c r="A1357" t="s">
        <v>2860</v>
      </c>
      <c r="B1357" t="s">
        <v>2861</v>
      </c>
      <c r="C1357" s="1">
        <v>46180</v>
      </c>
      <c r="D1357" s="5">
        <v>20.8</v>
      </c>
      <c r="E1357" t="s">
        <v>558</v>
      </c>
      <c r="F1357" t="s">
        <v>1049</v>
      </c>
      <c r="G1357" t="s">
        <v>369</v>
      </c>
      <c r="H1357" t="s">
        <v>2862</v>
      </c>
    </row>
    <row r="1358" spans="1:8" ht="15" customHeight="1" x14ac:dyDescent="0.25">
      <c r="A1358" t="s">
        <v>1778</v>
      </c>
      <c r="B1358" t="s">
        <v>2553</v>
      </c>
      <c r="C1358" s="1">
        <v>46180</v>
      </c>
      <c r="D1358" s="5">
        <v>5.52</v>
      </c>
      <c r="E1358" t="s">
        <v>558</v>
      </c>
      <c r="F1358" t="s">
        <v>1049</v>
      </c>
      <c r="G1358" t="s">
        <v>222</v>
      </c>
      <c r="H1358" t="s">
        <v>2863</v>
      </c>
    </row>
    <row r="1359" spans="1:8" ht="15" customHeight="1" x14ac:dyDescent="0.25">
      <c r="A1359" t="s">
        <v>2864</v>
      </c>
      <c r="B1359" t="s">
        <v>2865</v>
      </c>
      <c r="C1359" s="1">
        <v>46181</v>
      </c>
      <c r="D1359" s="5">
        <v>3.68</v>
      </c>
      <c r="E1359" t="s">
        <v>558</v>
      </c>
      <c r="F1359" t="s">
        <v>1049</v>
      </c>
      <c r="G1359" t="s">
        <v>1860</v>
      </c>
      <c r="H1359" t="s">
        <v>2866</v>
      </c>
    </row>
    <row r="1360" spans="1:8" ht="15" customHeight="1" x14ac:dyDescent="0.25">
      <c r="A1360" t="s">
        <v>1464</v>
      </c>
      <c r="B1360" t="s">
        <v>1465</v>
      </c>
      <c r="C1360" s="1">
        <v>46181</v>
      </c>
      <c r="D1360" s="5">
        <v>26</v>
      </c>
      <c r="E1360" t="s">
        <v>558</v>
      </c>
      <c r="F1360" t="s">
        <v>1049</v>
      </c>
      <c r="G1360" t="s">
        <v>128</v>
      </c>
      <c r="H1360" t="s">
        <v>2867</v>
      </c>
    </row>
    <row r="1361" spans="1:8" ht="15" customHeight="1" x14ac:dyDescent="0.25">
      <c r="A1361" t="s">
        <v>2868</v>
      </c>
      <c r="B1361" t="s">
        <v>2869</v>
      </c>
      <c r="C1361" s="1">
        <v>46181</v>
      </c>
      <c r="D1361" s="5">
        <v>26</v>
      </c>
      <c r="E1361" t="s">
        <v>558</v>
      </c>
      <c r="F1361" t="s">
        <v>1049</v>
      </c>
      <c r="G1361" t="s">
        <v>128</v>
      </c>
      <c r="H1361" t="s">
        <v>2870</v>
      </c>
    </row>
    <row r="1362" spans="1:8" ht="15" customHeight="1" x14ac:dyDescent="0.25">
      <c r="A1362" t="s">
        <v>576</v>
      </c>
      <c r="B1362" t="s">
        <v>577</v>
      </c>
      <c r="C1362" s="1">
        <v>46181</v>
      </c>
      <c r="D1362" s="5">
        <v>34.799999999999997</v>
      </c>
      <c r="E1362" t="s">
        <v>558</v>
      </c>
      <c r="F1362" t="s">
        <v>1049</v>
      </c>
      <c r="G1362" t="s">
        <v>117</v>
      </c>
      <c r="H1362" t="s">
        <v>2871</v>
      </c>
    </row>
    <row r="1363" spans="1:8" ht="15" customHeight="1" x14ac:dyDescent="0.25">
      <c r="A1363" t="s">
        <v>2872</v>
      </c>
      <c r="B1363" t="s">
        <v>2873</v>
      </c>
      <c r="C1363" s="1">
        <v>46181</v>
      </c>
      <c r="D1363" s="5">
        <v>69.599999999999994</v>
      </c>
      <c r="E1363" t="s">
        <v>558</v>
      </c>
      <c r="F1363" t="s">
        <v>1049</v>
      </c>
      <c r="G1363" t="s">
        <v>124</v>
      </c>
      <c r="H1363" t="s">
        <v>2874</v>
      </c>
    </row>
    <row r="1364" spans="1:8" ht="15" customHeight="1" x14ac:dyDescent="0.25">
      <c r="A1364" t="s">
        <v>2875</v>
      </c>
      <c r="B1364" t="s">
        <v>1779</v>
      </c>
      <c r="C1364" s="1">
        <v>46181</v>
      </c>
      <c r="D1364" s="5">
        <v>38.520000000000003</v>
      </c>
      <c r="E1364" t="s">
        <v>558</v>
      </c>
      <c r="F1364" t="s">
        <v>1049</v>
      </c>
      <c r="G1364" t="s">
        <v>128</v>
      </c>
      <c r="H1364" t="s">
        <v>2876</v>
      </c>
    </row>
    <row r="1365" spans="1:8" ht="15" customHeight="1" x14ac:dyDescent="0.25">
      <c r="A1365" t="s">
        <v>2877</v>
      </c>
      <c r="B1365" t="s">
        <v>2878</v>
      </c>
      <c r="C1365" s="1">
        <v>46181</v>
      </c>
      <c r="D1365" s="5">
        <v>38.520000000000003</v>
      </c>
      <c r="E1365" t="s">
        <v>558</v>
      </c>
      <c r="F1365" t="s">
        <v>1049</v>
      </c>
      <c r="G1365" t="s">
        <v>128</v>
      </c>
      <c r="H1365" t="s">
        <v>2879</v>
      </c>
    </row>
    <row r="1366" spans="1:8" ht="15" customHeight="1" x14ac:dyDescent="0.25">
      <c r="A1366" t="s">
        <v>2880</v>
      </c>
      <c r="B1366" t="s">
        <v>2881</v>
      </c>
      <c r="C1366" s="1">
        <v>46181</v>
      </c>
      <c r="D1366" s="5">
        <v>141.79</v>
      </c>
      <c r="E1366" t="s">
        <v>558</v>
      </c>
      <c r="F1366" t="s">
        <v>1049</v>
      </c>
      <c r="G1366" t="s">
        <v>124</v>
      </c>
      <c r="H1366" t="s">
        <v>2882</v>
      </c>
    </row>
    <row r="1367" spans="1:8" ht="15" customHeight="1" x14ac:dyDescent="0.25">
      <c r="A1367" t="s">
        <v>981</v>
      </c>
      <c r="B1367" t="s">
        <v>982</v>
      </c>
      <c r="C1367" s="1">
        <v>46181</v>
      </c>
      <c r="D1367" s="5">
        <v>5.52</v>
      </c>
      <c r="E1367" t="s">
        <v>558</v>
      </c>
      <c r="F1367" t="s">
        <v>1049</v>
      </c>
      <c r="G1367" t="s">
        <v>124</v>
      </c>
      <c r="H1367" t="s">
        <v>2883</v>
      </c>
    </row>
    <row r="1368" spans="1:8" ht="15" customHeight="1" x14ac:dyDescent="0.25">
      <c r="A1368" t="s">
        <v>2038</v>
      </c>
      <c r="B1368" t="s">
        <v>2039</v>
      </c>
      <c r="C1368" s="1">
        <v>46181</v>
      </c>
      <c r="D1368" s="5">
        <v>5.5209999999999999</v>
      </c>
      <c r="E1368" t="s">
        <v>558</v>
      </c>
      <c r="F1368" t="s">
        <v>1049</v>
      </c>
      <c r="G1368" t="s">
        <v>124</v>
      </c>
      <c r="H1368" t="s">
        <v>2884</v>
      </c>
    </row>
    <row r="1369" spans="1:8" ht="15" customHeight="1" x14ac:dyDescent="0.25">
      <c r="A1369" t="s">
        <v>2383</v>
      </c>
      <c r="B1369" t="s">
        <v>2384</v>
      </c>
      <c r="C1369" s="1">
        <v>46181</v>
      </c>
      <c r="D1369" s="5">
        <v>31.2</v>
      </c>
      <c r="E1369" t="s">
        <v>558</v>
      </c>
      <c r="F1369" t="s">
        <v>1049</v>
      </c>
      <c r="G1369" t="s">
        <v>124</v>
      </c>
      <c r="H1369" t="s">
        <v>2885</v>
      </c>
    </row>
    <row r="1370" spans="1:8" ht="15" customHeight="1" x14ac:dyDescent="0.25">
      <c r="A1370" t="s">
        <v>2392</v>
      </c>
      <c r="B1370" t="s">
        <v>2393</v>
      </c>
      <c r="C1370" s="1">
        <v>46181</v>
      </c>
      <c r="D1370" s="5">
        <v>5.52</v>
      </c>
      <c r="E1370" t="s">
        <v>558</v>
      </c>
      <c r="F1370" t="s">
        <v>1049</v>
      </c>
      <c r="G1370" t="s">
        <v>124</v>
      </c>
      <c r="H1370" t="s">
        <v>2886</v>
      </c>
    </row>
    <row r="1371" spans="1:8" ht="15" customHeight="1" x14ac:dyDescent="0.25">
      <c r="A1371" t="s">
        <v>2887</v>
      </c>
      <c r="B1371" t="s">
        <v>660</v>
      </c>
      <c r="C1371" s="1">
        <v>46181</v>
      </c>
      <c r="D1371" s="5">
        <v>87</v>
      </c>
      <c r="E1371" t="s">
        <v>558</v>
      </c>
      <c r="F1371" t="s">
        <v>1049</v>
      </c>
      <c r="G1371" t="s">
        <v>117</v>
      </c>
      <c r="H1371" t="s">
        <v>2888</v>
      </c>
    </row>
    <row r="1372" spans="1:8" ht="15" customHeight="1" x14ac:dyDescent="0.25">
      <c r="A1372" t="s">
        <v>900</v>
      </c>
      <c r="B1372" t="s">
        <v>901</v>
      </c>
      <c r="C1372" s="1">
        <v>46181</v>
      </c>
      <c r="D1372" s="5">
        <v>3.68</v>
      </c>
      <c r="E1372" t="s">
        <v>558</v>
      </c>
      <c r="F1372" t="s">
        <v>1049</v>
      </c>
      <c r="G1372" t="s">
        <v>1502</v>
      </c>
      <c r="H1372" t="s">
        <v>2889</v>
      </c>
    </row>
    <row r="1373" spans="1:8" ht="15" customHeight="1" x14ac:dyDescent="0.25">
      <c r="A1373" t="s">
        <v>2458</v>
      </c>
      <c r="B1373" t="s">
        <v>2459</v>
      </c>
      <c r="C1373" s="1">
        <v>46181</v>
      </c>
      <c r="D1373" s="5">
        <v>26</v>
      </c>
      <c r="E1373" t="s">
        <v>558</v>
      </c>
      <c r="F1373" t="s">
        <v>1049</v>
      </c>
      <c r="G1373" t="s">
        <v>128</v>
      </c>
      <c r="H1373" t="s">
        <v>2890</v>
      </c>
    </row>
    <row r="1374" spans="1:8" ht="15" customHeight="1" x14ac:dyDescent="0.25">
      <c r="A1374" t="s">
        <v>2891</v>
      </c>
      <c r="B1374" t="s">
        <v>1396</v>
      </c>
      <c r="C1374" s="1">
        <v>46181</v>
      </c>
      <c r="D1374" s="5">
        <v>146.66999999999999</v>
      </c>
      <c r="E1374" t="s">
        <v>558</v>
      </c>
      <c r="F1374" t="s">
        <v>1049</v>
      </c>
      <c r="G1374" t="s">
        <v>128</v>
      </c>
      <c r="H1374" t="s">
        <v>2892</v>
      </c>
    </row>
    <row r="1375" spans="1:8" ht="15" customHeight="1" x14ac:dyDescent="0.25">
      <c r="A1375" t="s">
        <v>146</v>
      </c>
      <c r="B1375" t="s">
        <v>147</v>
      </c>
      <c r="C1375" s="1">
        <v>46181</v>
      </c>
      <c r="D1375" s="5">
        <v>3.86</v>
      </c>
      <c r="E1375" t="s">
        <v>558</v>
      </c>
      <c r="F1375" t="s">
        <v>1049</v>
      </c>
      <c r="G1375" t="s">
        <v>148</v>
      </c>
      <c r="H1375" t="s">
        <v>2893</v>
      </c>
    </row>
    <row r="1376" spans="1:8" ht="15" customHeight="1" x14ac:dyDescent="0.25">
      <c r="A1376" t="s">
        <v>321</v>
      </c>
      <c r="B1376" t="s">
        <v>322</v>
      </c>
      <c r="C1376" s="1">
        <v>46181</v>
      </c>
      <c r="D1376" s="5">
        <v>3.86</v>
      </c>
      <c r="E1376" t="s">
        <v>558</v>
      </c>
      <c r="F1376" t="s">
        <v>1049</v>
      </c>
      <c r="G1376" t="s">
        <v>148</v>
      </c>
      <c r="H1376" t="s">
        <v>2894</v>
      </c>
    </row>
    <row r="1377" spans="1:8" ht="15" customHeight="1" x14ac:dyDescent="0.25">
      <c r="A1377" t="s">
        <v>171</v>
      </c>
      <c r="B1377" t="s">
        <v>172</v>
      </c>
      <c r="C1377" s="1">
        <v>46181</v>
      </c>
      <c r="D1377" s="5">
        <v>3.86</v>
      </c>
      <c r="E1377" t="s">
        <v>558</v>
      </c>
      <c r="F1377" t="s">
        <v>1049</v>
      </c>
      <c r="G1377" t="s">
        <v>296</v>
      </c>
      <c r="H1377" t="s">
        <v>2895</v>
      </c>
    </row>
    <row r="1378" spans="1:8" ht="15" customHeight="1" x14ac:dyDescent="0.25">
      <c r="A1378" t="s">
        <v>2896</v>
      </c>
      <c r="B1378" t="s">
        <v>1854</v>
      </c>
      <c r="C1378" s="1">
        <v>46181</v>
      </c>
      <c r="D1378" s="5">
        <v>146.66999999999999</v>
      </c>
      <c r="E1378" t="s">
        <v>558</v>
      </c>
      <c r="F1378" t="s">
        <v>1049</v>
      </c>
      <c r="G1378" t="s">
        <v>222</v>
      </c>
      <c r="H1378" t="s">
        <v>2897</v>
      </c>
    </row>
    <row r="1379" spans="1:8" ht="15" customHeight="1" x14ac:dyDescent="0.25">
      <c r="A1379" t="s">
        <v>2717</v>
      </c>
      <c r="B1379" t="s">
        <v>2718</v>
      </c>
      <c r="C1379" s="1">
        <v>46181</v>
      </c>
      <c r="D1379" s="5">
        <v>150.6</v>
      </c>
      <c r="E1379" t="s">
        <v>558</v>
      </c>
      <c r="F1379" t="s">
        <v>1049</v>
      </c>
      <c r="G1379" t="s">
        <v>128</v>
      </c>
      <c r="H1379" t="s">
        <v>2898</v>
      </c>
    </row>
    <row r="1380" spans="1:8" ht="15" customHeight="1" x14ac:dyDescent="0.25">
      <c r="A1380" t="s">
        <v>165</v>
      </c>
      <c r="B1380" t="s">
        <v>166</v>
      </c>
      <c r="C1380" s="1">
        <v>46181</v>
      </c>
      <c r="D1380" s="5">
        <v>150.6</v>
      </c>
      <c r="E1380" t="s">
        <v>558</v>
      </c>
      <c r="F1380" t="s">
        <v>1049</v>
      </c>
      <c r="G1380" t="s">
        <v>222</v>
      </c>
      <c r="H1380" t="s">
        <v>2899</v>
      </c>
    </row>
    <row r="1381" spans="1:8" ht="15" customHeight="1" x14ac:dyDescent="0.25">
      <c r="A1381" t="s">
        <v>2900</v>
      </c>
      <c r="B1381" t="s">
        <v>2901</v>
      </c>
      <c r="C1381" s="1">
        <v>46181</v>
      </c>
      <c r="D1381" s="5">
        <v>146.66999999999999</v>
      </c>
      <c r="E1381" t="s">
        <v>558</v>
      </c>
      <c r="F1381" t="s">
        <v>1049</v>
      </c>
      <c r="G1381" t="s">
        <v>222</v>
      </c>
      <c r="H1381" t="s">
        <v>2902</v>
      </c>
    </row>
    <row r="1382" spans="1:8" ht="15" customHeight="1" x14ac:dyDescent="0.25">
      <c r="A1382" t="s">
        <v>237</v>
      </c>
      <c r="B1382" t="s">
        <v>238</v>
      </c>
      <c r="C1382" s="1">
        <v>46181</v>
      </c>
      <c r="D1382" s="5">
        <v>25.68</v>
      </c>
      <c r="E1382" t="s">
        <v>558</v>
      </c>
      <c r="F1382" t="s">
        <v>1049</v>
      </c>
      <c r="G1382" t="s">
        <v>239</v>
      </c>
      <c r="H1382" t="s">
        <v>2903</v>
      </c>
    </row>
    <row r="1383" spans="1:8" ht="15" customHeight="1" x14ac:dyDescent="0.25">
      <c r="A1383" t="s">
        <v>156</v>
      </c>
      <c r="B1383" t="s">
        <v>157</v>
      </c>
      <c r="C1383" s="1">
        <v>46181</v>
      </c>
      <c r="D1383" s="5">
        <v>3.86</v>
      </c>
      <c r="E1383" t="s">
        <v>558</v>
      </c>
      <c r="F1383" t="s">
        <v>1049</v>
      </c>
      <c r="G1383" t="s">
        <v>183</v>
      </c>
      <c r="H1383" t="s">
        <v>2904</v>
      </c>
    </row>
    <row r="1384" spans="1:8" ht="15" customHeight="1" x14ac:dyDescent="0.25">
      <c r="A1384" t="s">
        <v>769</v>
      </c>
      <c r="B1384" t="s">
        <v>770</v>
      </c>
      <c r="C1384" s="1">
        <v>46181</v>
      </c>
      <c r="D1384" s="5">
        <v>38.520000000000003</v>
      </c>
      <c r="E1384" t="s">
        <v>558</v>
      </c>
      <c r="F1384" t="s">
        <v>1049</v>
      </c>
      <c r="G1384" t="s">
        <v>222</v>
      </c>
      <c r="H1384" t="s">
        <v>2905</v>
      </c>
    </row>
    <row r="1385" spans="1:8" ht="15" customHeight="1" x14ac:dyDescent="0.25">
      <c r="A1385" t="s">
        <v>1709</v>
      </c>
      <c r="B1385" t="s">
        <v>1710</v>
      </c>
      <c r="C1385" s="1">
        <v>46181</v>
      </c>
      <c r="D1385" s="5">
        <v>3</v>
      </c>
      <c r="E1385" t="s">
        <v>558</v>
      </c>
      <c r="F1385" t="s">
        <v>1049</v>
      </c>
      <c r="G1385" t="s">
        <v>314</v>
      </c>
      <c r="H1385" t="s">
        <v>2906</v>
      </c>
    </row>
    <row r="1386" spans="1:8" ht="15" customHeight="1" x14ac:dyDescent="0.25">
      <c r="A1386" t="s">
        <v>2217</v>
      </c>
      <c r="B1386" t="s">
        <v>2218</v>
      </c>
      <c r="C1386" s="1">
        <v>46181</v>
      </c>
      <c r="D1386" s="5">
        <v>3.68</v>
      </c>
      <c r="E1386" t="s">
        <v>558</v>
      </c>
      <c r="F1386" t="s">
        <v>1049</v>
      </c>
      <c r="G1386" t="s">
        <v>2219</v>
      </c>
      <c r="H1386" t="s">
        <v>2907</v>
      </c>
    </row>
    <row r="1387" spans="1:8" ht="15" customHeight="1" x14ac:dyDescent="0.25">
      <c r="A1387" t="s">
        <v>2908</v>
      </c>
      <c r="B1387" t="s">
        <v>2909</v>
      </c>
      <c r="C1387" s="1">
        <v>46181</v>
      </c>
      <c r="D1387" s="5">
        <v>34.799999999999997</v>
      </c>
      <c r="E1387" t="s">
        <v>558</v>
      </c>
      <c r="F1387" t="s">
        <v>1049</v>
      </c>
      <c r="G1387" t="s">
        <v>117</v>
      </c>
      <c r="H1387" t="s">
        <v>2910</v>
      </c>
    </row>
    <row r="1388" spans="1:8" ht="15" customHeight="1" x14ac:dyDescent="0.25">
      <c r="A1388" t="s">
        <v>2911</v>
      </c>
      <c r="B1388" t="s">
        <v>2912</v>
      </c>
      <c r="C1388" s="1">
        <v>46181</v>
      </c>
      <c r="D1388" s="5">
        <v>152.19</v>
      </c>
      <c r="E1388" t="s">
        <v>558</v>
      </c>
      <c r="F1388" t="s">
        <v>1049</v>
      </c>
      <c r="G1388" t="s">
        <v>657</v>
      </c>
      <c r="H1388" t="s">
        <v>2913</v>
      </c>
    </row>
    <row r="1389" spans="1:8" ht="15" customHeight="1" x14ac:dyDescent="0.25">
      <c r="A1389" t="s">
        <v>2914</v>
      </c>
      <c r="B1389" t="s">
        <v>2915</v>
      </c>
      <c r="C1389" s="1">
        <v>46181</v>
      </c>
      <c r="D1389" s="5">
        <v>124.67</v>
      </c>
      <c r="E1389" t="s">
        <v>558</v>
      </c>
      <c r="F1389" t="s">
        <v>1049</v>
      </c>
      <c r="G1389" t="s">
        <v>264</v>
      </c>
      <c r="H1389" t="s">
        <v>2916</v>
      </c>
    </row>
    <row r="1390" spans="1:8" ht="15" customHeight="1" x14ac:dyDescent="0.25">
      <c r="A1390" t="s">
        <v>949</v>
      </c>
      <c r="B1390" t="s">
        <v>950</v>
      </c>
      <c r="C1390" s="1">
        <v>46181</v>
      </c>
      <c r="D1390" s="5">
        <v>5.52</v>
      </c>
      <c r="E1390" t="s">
        <v>558</v>
      </c>
      <c r="F1390" t="s">
        <v>1049</v>
      </c>
      <c r="G1390" t="s">
        <v>260</v>
      </c>
      <c r="H1390" t="s">
        <v>2917</v>
      </c>
    </row>
    <row r="1391" spans="1:8" ht="15" customHeight="1" x14ac:dyDescent="0.25">
      <c r="A1391" t="s">
        <v>2605</v>
      </c>
      <c r="B1391" t="s">
        <v>2606</v>
      </c>
      <c r="C1391" s="1">
        <v>46181</v>
      </c>
      <c r="D1391" s="5">
        <v>26</v>
      </c>
      <c r="E1391" t="s">
        <v>558</v>
      </c>
      <c r="F1391" t="s">
        <v>1049</v>
      </c>
      <c r="G1391" t="s">
        <v>128</v>
      </c>
      <c r="H1391" t="s">
        <v>2918</v>
      </c>
    </row>
    <row r="1392" spans="1:8" ht="15" customHeight="1" x14ac:dyDescent="0.25">
      <c r="A1392" t="s">
        <v>2919</v>
      </c>
      <c r="B1392" t="s">
        <v>2920</v>
      </c>
      <c r="C1392" s="1">
        <v>46181</v>
      </c>
      <c r="D1392" s="5">
        <v>124.67</v>
      </c>
      <c r="E1392" t="s">
        <v>558</v>
      </c>
      <c r="F1392" t="s">
        <v>1049</v>
      </c>
      <c r="G1392" t="s">
        <v>264</v>
      </c>
      <c r="H1392" t="s">
        <v>2921</v>
      </c>
    </row>
    <row r="1393" spans="1:8" ht="15" customHeight="1" x14ac:dyDescent="0.25">
      <c r="A1393" t="s">
        <v>70</v>
      </c>
      <c r="B1393" t="s">
        <v>71</v>
      </c>
      <c r="C1393" s="1">
        <v>46181</v>
      </c>
      <c r="D1393" s="5">
        <v>38.520000000000003</v>
      </c>
      <c r="E1393" t="s">
        <v>558</v>
      </c>
      <c r="F1393" t="s">
        <v>1049</v>
      </c>
      <c r="G1393" t="s">
        <v>260</v>
      </c>
      <c r="H1393" t="s">
        <v>2922</v>
      </c>
    </row>
    <row r="1394" spans="1:8" ht="15" customHeight="1" x14ac:dyDescent="0.25">
      <c r="A1394" t="s">
        <v>1833</v>
      </c>
      <c r="B1394" t="s">
        <v>1834</v>
      </c>
      <c r="C1394" s="1">
        <v>46181</v>
      </c>
      <c r="D1394" s="5">
        <v>87</v>
      </c>
      <c r="E1394" t="s">
        <v>558</v>
      </c>
      <c r="F1394" t="s">
        <v>1049</v>
      </c>
      <c r="G1394" t="s">
        <v>117</v>
      </c>
      <c r="H1394" t="s">
        <v>2923</v>
      </c>
    </row>
    <row r="1395" spans="1:8" ht="15" customHeight="1" x14ac:dyDescent="0.25">
      <c r="A1395" t="s">
        <v>1833</v>
      </c>
      <c r="B1395" t="s">
        <v>1834</v>
      </c>
      <c r="C1395" s="1">
        <v>46182</v>
      </c>
      <c r="D1395" s="5">
        <v>31.2</v>
      </c>
      <c r="E1395" t="s">
        <v>558</v>
      </c>
      <c r="F1395" t="s">
        <v>1049</v>
      </c>
      <c r="G1395" t="s">
        <v>124</v>
      </c>
      <c r="H1395" t="s">
        <v>2924</v>
      </c>
    </row>
    <row r="1396" spans="1:8" ht="15" customHeight="1" x14ac:dyDescent="0.25">
      <c r="A1396" t="s">
        <v>2925</v>
      </c>
      <c r="B1396" t="s">
        <v>2926</v>
      </c>
      <c r="C1396" s="1">
        <v>46182</v>
      </c>
      <c r="D1396" s="5">
        <v>141.79</v>
      </c>
      <c r="E1396" t="s">
        <v>558</v>
      </c>
      <c r="F1396" t="s">
        <v>1049</v>
      </c>
      <c r="G1396" t="s">
        <v>124</v>
      </c>
      <c r="H1396" t="s">
        <v>2927</v>
      </c>
    </row>
    <row r="1397" spans="1:8" ht="15" customHeight="1" x14ac:dyDescent="0.25">
      <c r="A1397" t="s">
        <v>1719</v>
      </c>
      <c r="B1397" t="s">
        <v>1720</v>
      </c>
      <c r="C1397" s="1">
        <v>46182</v>
      </c>
      <c r="D1397" s="5">
        <v>5.52</v>
      </c>
      <c r="E1397" t="s">
        <v>558</v>
      </c>
      <c r="F1397" t="s">
        <v>1049</v>
      </c>
      <c r="G1397" t="s">
        <v>124</v>
      </c>
      <c r="H1397" t="s">
        <v>2928</v>
      </c>
    </row>
    <row r="1398" spans="1:8" ht="15" customHeight="1" x14ac:dyDescent="0.25">
      <c r="A1398" t="s">
        <v>435</v>
      </c>
      <c r="B1398" t="s">
        <v>436</v>
      </c>
      <c r="C1398" s="1">
        <v>46182</v>
      </c>
      <c r="D1398" s="5">
        <v>3</v>
      </c>
      <c r="E1398" t="s">
        <v>558</v>
      </c>
      <c r="F1398" t="s">
        <v>1049</v>
      </c>
      <c r="G1398" t="s">
        <v>117</v>
      </c>
      <c r="H1398" t="s">
        <v>2929</v>
      </c>
    </row>
    <row r="1399" spans="1:8" ht="15" customHeight="1" x14ac:dyDescent="0.25">
      <c r="A1399" t="s">
        <v>1267</v>
      </c>
      <c r="B1399" t="s">
        <v>404</v>
      </c>
      <c r="C1399" s="1">
        <v>46182</v>
      </c>
      <c r="D1399" s="5">
        <v>3</v>
      </c>
      <c r="E1399" t="s">
        <v>558</v>
      </c>
      <c r="F1399" t="s">
        <v>1049</v>
      </c>
      <c r="G1399" t="s">
        <v>117</v>
      </c>
      <c r="H1399" t="s">
        <v>2930</v>
      </c>
    </row>
    <row r="1400" spans="1:8" ht="15" customHeight="1" x14ac:dyDescent="0.25">
      <c r="A1400" t="s">
        <v>2931</v>
      </c>
      <c r="B1400" t="s">
        <v>2932</v>
      </c>
      <c r="C1400" s="1">
        <v>46182</v>
      </c>
      <c r="D1400" s="5">
        <v>3.68</v>
      </c>
      <c r="E1400" t="s">
        <v>558</v>
      </c>
      <c r="F1400" t="s">
        <v>1049</v>
      </c>
      <c r="G1400" t="s">
        <v>264</v>
      </c>
      <c r="H1400" t="s">
        <v>2933</v>
      </c>
    </row>
    <row r="1401" spans="1:8" ht="15" customHeight="1" x14ac:dyDescent="0.25">
      <c r="A1401" t="s">
        <v>1054</v>
      </c>
      <c r="B1401" t="s">
        <v>1055</v>
      </c>
      <c r="C1401" s="1">
        <v>46182</v>
      </c>
      <c r="D1401" s="5">
        <v>17.399999999999999</v>
      </c>
      <c r="E1401" t="s">
        <v>558</v>
      </c>
      <c r="F1401" t="s">
        <v>1049</v>
      </c>
      <c r="G1401" t="s">
        <v>117</v>
      </c>
      <c r="H1401" t="s">
        <v>2934</v>
      </c>
    </row>
    <row r="1402" spans="1:8" ht="15" customHeight="1" x14ac:dyDescent="0.25">
      <c r="A1402" t="s">
        <v>1790</v>
      </c>
      <c r="B1402" t="s">
        <v>1791</v>
      </c>
      <c r="C1402" s="1">
        <v>46182</v>
      </c>
      <c r="D1402" s="5">
        <v>19.45</v>
      </c>
      <c r="E1402" t="s">
        <v>558</v>
      </c>
      <c r="F1402" t="s">
        <v>1049</v>
      </c>
      <c r="G1402" t="s">
        <v>124</v>
      </c>
      <c r="H1402" t="s">
        <v>2935</v>
      </c>
    </row>
    <row r="1403" spans="1:8" ht="15" customHeight="1" x14ac:dyDescent="0.25">
      <c r="A1403" t="s">
        <v>2936</v>
      </c>
      <c r="B1403" t="s">
        <v>2937</v>
      </c>
      <c r="C1403" s="1">
        <v>46182</v>
      </c>
      <c r="D1403" s="5">
        <v>3.68</v>
      </c>
      <c r="E1403" t="s">
        <v>558</v>
      </c>
      <c r="F1403" t="s">
        <v>1049</v>
      </c>
      <c r="G1403" t="s">
        <v>264</v>
      </c>
      <c r="H1403" t="s">
        <v>2938</v>
      </c>
    </row>
    <row r="1404" spans="1:8" ht="15" customHeight="1" x14ac:dyDescent="0.25">
      <c r="A1404" t="s">
        <v>2939</v>
      </c>
      <c r="B1404" t="s">
        <v>2940</v>
      </c>
      <c r="C1404" s="1">
        <v>46182</v>
      </c>
      <c r="D1404" s="5">
        <v>142.44999999999999</v>
      </c>
      <c r="E1404" t="s">
        <v>558</v>
      </c>
      <c r="F1404" t="s">
        <v>1049</v>
      </c>
      <c r="G1404" t="s">
        <v>264</v>
      </c>
      <c r="H1404" t="s">
        <v>2941</v>
      </c>
    </row>
    <row r="1405" spans="1:8" ht="15" customHeight="1" x14ac:dyDescent="0.25">
      <c r="A1405" t="s">
        <v>76</v>
      </c>
      <c r="B1405" t="s">
        <v>77</v>
      </c>
      <c r="C1405" s="1">
        <v>46182</v>
      </c>
      <c r="D1405" s="5">
        <v>3.86</v>
      </c>
      <c r="E1405" t="s">
        <v>558</v>
      </c>
      <c r="F1405" t="s">
        <v>1049</v>
      </c>
      <c r="G1405" t="s">
        <v>148</v>
      </c>
      <c r="H1405" t="s">
        <v>2942</v>
      </c>
    </row>
    <row r="1406" spans="1:8" ht="15" customHeight="1" x14ac:dyDescent="0.25">
      <c r="A1406" t="s">
        <v>2943</v>
      </c>
      <c r="B1406" t="s">
        <v>2944</v>
      </c>
      <c r="C1406" s="1">
        <v>46182</v>
      </c>
      <c r="D1406" s="5">
        <v>136.76</v>
      </c>
      <c r="E1406" t="s">
        <v>558</v>
      </c>
      <c r="F1406" t="s">
        <v>1049</v>
      </c>
      <c r="G1406" t="s">
        <v>148</v>
      </c>
      <c r="H1406" t="s">
        <v>2945</v>
      </c>
    </row>
    <row r="1407" spans="1:8" ht="15" customHeight="1" x14ac:dyDescent="0.25">
      <c r="A1407" t="s">
        <v>2946</v>
      </c>
      <c r="B1407" t="s">
        <v>2947</v>
      </c>
      <c r="C1407" s="1">
        <v>46182</v>
      </c>
      <c r="D1407" s="5">
        <v>25.68</v>
      </c>
      <c r="E1407" t="s">
        <v>558</v>
      </c>
      <c r="F1407" t="s">
        <v>1049</v>
      </c>
      <c r="G1407" t="s">
        <v>369</v>
      </c>
      <c r="H1407" t="s">
        <v>2948</v>
      </c>
    </row>
    <row r="1408" spans="1:8" ht="15" customHeight="1" x14ac:dyDescent="0.25">
      <c r="A1408" t="s">
        <v>2949</v>
      </c>
      <c r="B1408" t="s">
        <v>2950</v>
      </c>
      <c r="C1408" s="1">
        <v>46182</v>
      </c>
      <c r="D1408" s="5">
        <v>146.66999999999999</v>
      </c>
      <c r="E1408" t="s">
        <v>558</v>
      </c>
      <c r="F1408" t="s">
        <v>1049</v>
      </c>
      <c r="G1408" t="s">
        <v>128</v>
      </c>
      <c r="H1408" t="s">
        <v>2951</v>
      </c>
    </row>
    <row r="1409" spans="1:8" ht="15" customHeight="1" x14ac:dyDescent="0.25">
      <c r="A1409" t="s">
        <v>1912</v>
      </c>
      <c r="B1409" t="s">
        <v>1913</v>
      </c>
      <c r="C1409" s="1">
        <v>46182</v>
      </c>
      <c r="D1409" s="5">
        <v>26</v>
      </c>
      <c r="E1409" t="s">
        <v>558</v>
      </c>
      <c r="F1409" t="s">
        <v>1049</v>
      </c>
      <c r="G1409" t="s">
        <v>128</v>
      </c>
      <c r="H1409" t="s">
        <v>2952</v>
      </c>
    </row>
    <row r="1410" spans="1:8" ht="15" customHeight="1" x14ac:dyDescent="0.25">
      <c r="A1410" t="s">
        <v>2036</v>
      </c>
      <c r="B1410" t="s">
        <v>2953</v>
      </c>
      <c r="C1410" s="1">
        <v>46182</v>
      </c>
      <c r="D1410" s="5">
        <v>31.2</v>
      </c>
      <c r="E1410" t="s">
        <v>558</v>
      </c>
      <c r="F1410" t="s">
        <v>1049</v>
      </c>
      <c r="G1410" t="s">
        <v>124</v>
      </c>
      <c r="H1410" t="s">
        <v>2954</v>
      </c>
    </row>
    <row r="1411" spans="1:8" ht="15" customHeight="1" x14ac:dyDescent="0.25">
      <c r="A1411" t="s">
        <v>2955</v>
      </c>
      <c r="B1411" t="s">
        <v>2956</v>
      </c>
      <c r="C1411" s="1">
        <v>46182</v>
      </c>
      <c r="D1411" s="5">
        <v>122.83</v>
      </c>
      <c r="E1411" t="s">
        <v>558</v>
      </c>
      <c r="F1411" t="s">
        <v>1049</v>
      </c>
      <c r="G1411" t="s">
        <v>264</v>
      </c>
      <c r="H1411" t="s">
        <v>2957</v>
      </c>
    </row>
    <row r="1412" spans="1:8" ht="15" customHeight="1" x14ac:dyDescent="0.25">
      <c r="A1412" t="s">
        <v>2720</v>
      </c>
      <c r="B1412" t="s">
        <v>2721</v>
      </c>
      <c r="C1412" s="1">
        <v>46182</v>
      </c>
      <c r="D1412" s="5">
        <v>38.520000000000003</v>
      </c>
      <c r="E1412" t="s">
        <v>558</v>
      </c>
      <c r="F1412" t="s">
        <v>1049</v>
      </c>
      <c r="G1412" t="s">
        <v>128</v>
      </c>
      <c r="H1412" t="s">
        <v>2958</v>
      </c>
    </row>
    <row r="1413" spans="1:8" ht="15" customHeight="1" x14ac:dyDescent="0.25">
      <c r="A1413" t="s">
        <v>2864</v>
      </c>
      <c r="B1413" t="s">
        <v>2865</v>
      </c>
      <c r="C1413" s="1">
        <v>46182</v>
      </c>
      <c r="D1413" s="5">
        <v>5.52</v>
      </c>
      <c r="E1413" t="s">
        <v>558</v>
      </c>
      <c r="F1413" t="s">
        <v>1049</v>
      </c>
      <c r="G1413" t="s">
        <v>264</v>
      </c>
      <c r="H1413" t="s">
        <v>2959</v>
      </c>
    </row>
    <row r="1414" spans="1:8" ht="15" customHeight="1" x14ac:dyDescent="0.25">
      <c r="A1414" t="s">
        <v>820</v>
      </c>
      <c r="B1414" t="s">
        <v>821</v>
      </c>
      <c r="C1414" s="1">
        <v>46182</v>
      </c>
      <c r="D1414" s="5">
        <v>5.52</v>
      </c>
      <c r="E1414" t="s">
        <v>558</v>
      </c>
      <c r="F1414" t="s">
        <v>1049</v>
      </c>
      <c r="G1414" t="s">
        <v>260</v>
      </c>
      <c r="H1414" t="s">
        <v>2960</v>
      </c>
    </row>
    <row r="1415" spans="1:8" ht="15" customHeight="1" x14ac:dyDescent="0.25">
      <c r="A1415" t="s">
        <v>2744</v>
      </c>
      <c r="B1415" t="s">
        <v>2745</v>
      </c>
      <c r="C1415" s="1">
        <v>46182</v>
      </c>
      <c r="D1415" s="5">
        <v>146.66999999999999</v>
      </c>
      <c r="E1415" t="s">
        <v>558</v>
      </c>
      <c r="F1415" t="s">
        <v>1049</v>
      </c>
      <c r="G1415" t="s">
        <v>264</v>
      </c>
      <c r="H1415" t="s">
        <v>2961</v>
      </c>
    </row>
    <row r="1416" spans="1:8" ht="15" customHeight="1" x14ac:dyDescent="0.25">
      <c r="A1416" t="s">
        <v>2962</v>
      </c>
      <c r="B1416" t="s">
        <v>2963</v>
      </c>
      <c r="C1416" s="1">
        <v>46182</v>
      </c>
      <c r="D1416" s="5">
        <v>141.79</v>
      </c>
      <c r="E1416" t="s">
        <v>558</v>
      </c>
      <c r="F1416" t="s">
        <v>1049</v>
      </c>
      <c r="G1416" t="s">
        <v>135</v>
      </c>
      <c r="H1416" t="s">
        <v>2964</v>
      </c>
    </row>
    <row r="1417" spans="1:8" ht="15" customHeight="1" x14ac:dyDescent="0.25">
      <c r="A1417" t="s">
        <v>2965</v>
      </c>
      <c r="B1417" t="s">
        <v>2966</v>
      </c>
      <c r="C1417" s="1">
        <v>46182</v>
      </c>
      <c r="D1417" s="5">
        <v>136.76</v>
      </c>
      <c r="E1417" t="s">
        <v>558</v>
      </c>
      <c r="F1417" t="s">
        <v>1049</v>
      </c>
      <c r="G1417" t="s">
        <v>468</v>
      </c>
      <c r="H1417" t="s">
        <v>2967</v>
      </c>
    </row>
    <row r="1418" spans="1:8" ht="15" customHeight="1" x14ac:dyDescent="0.25">
      <c r="A1418" t="s">
        <v>2174</v>
      </c>
      <c r="B1418" t="s">
        <v>2175</v>
      </c>
      <c r="C1418" s="1">
        <v>46182</v>
      </c>
      <c r="D1418" s="5">
        <v>5.52</v>
      </c>
      <c r="E1418" t="s">
        <v>558</v>
      </c>
      <c r="F1418" t="s">
        <v>1049</v>
      </c>
      <c r="G1418" t="s">
        <v>260</v>
      </c>
      <c r="H1418" t="s">
        <v>2968</v>
      </c>
    </row>
    <row r="1419" spans="1:8" ht="15" customHeight="1" x14ac:dyDescent="0.25">
      <c r="A1419" t="s">
        <v>2969</v>
      </c>
      <c r="B1419" t="s">
        <v>2970</v>
      </c>
      <c r="C1419" s="1">
        <v>46182</v>
      </c>
      <c r="D1419" s="5">
        <f>1.84*2</f>
        <v>3.68</v>
      </c>
      <c r="E1419" t="s">
        <v>558</v>
      </c>
      <c r="F1419" t="s">
        <v>1049</v>
      </c>
      <c r="G1419" t="s">
        <v>264</v>
      </c>
      <c r="H1419" t="s">
        <v>2971</v>
      </c>
    </row>
    <row r="1420" spans="1:8" ht="15" customHeight="1" x14ac:dyDescent="0.25">
      <c r="A1420" t="s">
        <v>2402</v>
      </c>
      <c r="B1420" t="s">
        <v>2403</v>
      </c>
      <c r="C1420" s="1">
        <v>46183</v>
      </c>
      <c r="D1420" s="5">
        <v>5.52</v>
      </c>
      <c r="E1420" t="s">
        <v>558</v>
      </c>
      <c r="F1420" t="s">
        <v>1049</v>
      </c>
      <c r="G1420" t="s">
        <v>124</v>
      </c>
      <c r="H1420" t="s">
        <v>2972</v>
      </c>
    </row>
    <row r="1421" spans="1:8" ht="15" customHeight="1" x14ac:dyDescent="0.25">
      <c r="A1421" t="s">
        <v>2396</v>
      </c>
      <c r="B1421" t="s">
        <v>2397</v>
      </c>
      <c r="C1421" s="1">
        <v>46183</v>
      </c>
      <c r="D1421" s="5">
        <v>5.52</v>
      </c>
      <c r="E1421" t="s">
        <v>558</v>
      </c>
      <c r="F1421" t="s">
        <v>1049</v>
      </c>
      <c r="G1421" t="s">
        <v>124</v>
      </c>
      <c r="H1421" t="s">
        <v>2973</v>
      </c>
    </row>
    <row r="1422" spans="1:8" ht="15" customHeight="1" x14ac:dyDescent="0.25">
      <c r="A1422" t="s">
        <v>2720</v>
      </c>
      <c r="B1422" t="s">
        <v>2721</v>
      </c>
      <c r="C1422" s="1">
        <v>46183</v>
      </c>
      <c r="D1422" s="5">
        <v>26</v>
      </c>
      <c r="E1422" t="s">
        <v>558</v>
      </c>
      <c r="F1422" t="s">
        <v>1049</v>
      </c>
      <c r="G1422" t="s">
        <v>128</v>
      </c>
      <c r="H1422" t="s">
        <v>2974</v>
      </c>
    </row>
    <row r="1423" spans="1:8" ht="15" customHeight="1" x14ac:dyDescent="0.25">
      <c r="A1423" t="s">
        <v>1054</v>
      </c>
      <c r="B1423" t="s">
        <v>1055</v>
      </c>
      <c r="C1423" s="1">
        <v>46183</v>
      </c>
      <c r="D1423" s="5">
        <v>31.2</v>
      </c>
      <c r="E1423" t="s">
        <v>558</v>
      </c>
      <c r="F1423" t="s">
        <v>1049</v>
      </c>
      <c r="G1423" t="s">
        <v>124</v>
      </c>
      <c r="H1423" t="s">
        <v>2975</v>
      </c>
    </row>
    <row r="1424" spans="1:8" ht="15" customHeight="1" x14ac:dyDescent="0.25">
      <c r="A1424" t="s">
        <v>2790</v>
      </c>
      <c r="B1424" t="s">
        <v>2791</v>
      </c>
      <c r="C1424" s="1">
        <v>46183</v>
      </c>
      <c r="D1424" s="5">
        <v>26</v>
      </c>
      <c r="E1424" t="s">
        <v>558</v>
      </c>
      <c r="F1424" t="s">
        <v>1049</v>
      </c>
      <c r="G1424" t="s">
        <v>128</v>
      </c>
      <c r="H1424" t="s">
        <v>2976</v>
      </c>
    </row>
    <row r="1425" spans="1:8" ht="15" customHeight="1" x14ac:dyDescent="0.25">
      <c r="A1425" t="s">
        <v>435</v>
      </c>
      <c r="B1425" t="s">
        <v>436</v>
      </c>
      <c r="C1425" s="1">
        <v>46183</v>
      </c>
      <c r="D1425" s="5">
        <v>31.2</v>
      </c>
      <c r="E1425" t="s">
        <v>558</v>
      </c>
      <c r="F1425" t="s">
        <v>1049</v>
      </c>
      <c r="G1425" t="s">
        <v>124</v>
      </c>
      <c r="H1425" t="s">
        <v>2977</v>
      </c>
    </row>
    <row r="1426" spans="1:8" ht="15" customHeight="1" x14ac:dyDescent="0.25">
      <c r="A1426" t="s">
        <v>752</v>
      </c>
      <c r="B1426" t="s">
        <v>2978</v>
      </c>
      <c r="C1426" s="1">
        <v>46183</v>
      </c>
      <c r="D1426" s="5">
        <v>26</v>
      </c>
      <c r="E1426" t="s">
        <v>558</v>
      </c>
      <c r="F1426" t="s">
        <v>1049</v>
      </c>
      <c r="G1426" t="s">
        <v>128</v>
      </c>
      <c r="H1426" t="s">
        <v>2979</v>
      </c>
    </row>
    <row r="1427" spans="1:8" ht="15" customHeight="1" x14ac:dyDescent="0.25">
      <c r="A1427" t="s">
        <v>2969</v>
      </c>
      <c r="B1427" t="s">
        <v>2970</v>
      </c>
      <c r="C1427" s="1">
        <v>46183</v>
      </c>
      <c r="D1427" s="5">
        <v>3.68</v>
      </c>
      <c r="E1427" t="s">
        <v>558</v>
      </c>
      <c r="F1427" t="s">
        <v>1049</v>
      </c>
      <c r="G1427" t="s">
        <v>264</v>
      </c>
      <c r="H1427" t="s">
        <v>2980</v>
      </c>
    </row>
    <row r="1428" spans="1:8" ht="15" customHeight="1" x14ac:dyDescent="0.25">
      <c r="A1428" t="s">
        <v>1763</v>
      </c>
      <c r="B1428" t="s">
        <v>1764</v>
      </c>
      <c r="C1428" s="1">
        <v>46183</v>
      </c>
      <c r="D1428" s="5">
        <v>38.520000000000003</v>
      </c>
      <c r="E1428" t="s">
        <v>558</v>
      </c>
      <c r="F1428" t="s">
        <v>1049</v>
      </c>
      <c r="G1428" t="s">
        <v>128</v>
      </c>
      <c r="H1428" t="s">
        <v>2981</v>
      </c>
    </row>
    <row r="1429" spans="1:8" ht="15" customHeight="1" x14ac:dyDescent="0.25">
      <c r="A1429" t="s">
        <v>2197</v>
      </c>
      <c r="B1429" t="s">
        <v>2982</v>
      </c>
      <c r="C1429" s="1">
        <v>46183</v>
      </c>
      <c r="D1429" s="5">
        <f>1.84*3</f>
        <v>5.5200000000000005</v>
      </c>
      <c r="E1429" t="s">
        <v>558</v>
      </c>
      <c r="F1429" t="s">
        <v>1049</v>
      </c>
      <c r="G1429" t="s">
        <v>231</v>
      </c>
      <c r="H1429" t="s">
        <v>2983</v>
      </c>
    </row>
    <row r="1430" spans="1:8" ht="15" customHeight="1" x14ac:dyDescent="0.25">
      <c r="A1430" t="s">
        <v>792</v>
      </c>
      <c r="B1430" t="s">
        <v>793</v>
      </c>
      <c r="C1430" s="1">
        <v>46183</v>
      </c>
      <c r="D1430" s="5">
        <f>1.84*3</f>
        <v>5.5200000000000005</v>
      </c>
      <c r="E1430" t="s">
        <v>558</v>
      </c>
      <c r="F1430" t="s">
        <v>1049</v>
      </c>
      <c r="G1430" t="s">
        <v>1026</v>
      </c>
      <c r="H1430" t="s">
        <v>2984</v>
      </c>
    </row>
    <row r="1431" spans="1:8" ht="15" customHeight="1" x14ac:dyDescent="0.25">
      <c r="A1431" t="s">
        <v>1709</v>
      </c>
      <c r="B1431" t="s">
        <v>1710</v>
      </c>
      <c r="C1431" s="1">
        <v>46183</v>
      </c>
      <c r="D1431" s="5">
        <v>3</v>
      </c>
      <c r="E1431" t="s">
        <v>558</v>
      </c>
      <c r="F1431" t="s">
        <v>1049</v>
      </c>
      <c r="G1431" t="s">
        <v>314</v>
      </c>
      <c r="H1431" t="s">
        <v>2985</v>
      </c>
    </row>
    <row r="1432" spans="1:8" ht="15" customHeight="1" x14ac:dyDescent="0.25">
      <c r="A1432" t="s">
        <v>415</v>
      </c>
      <c r="B1432" t="s">
        <v>416</v>
      </c>
      <c r="C1432" s="1">
        <v>46183</v>
      </c>
      <c r="D1432" s="5">
        <f>1.84*3</f>
        <v>5.5200000000000005</v>
      </c>
      <c r="E1432" t="s">
        <v>558</v>
      </c>
      <c r="F1432" t="s">
        <v>1049</v>
      </c>
      <c r="G1432" t="s">
        <v>1026</v>
      </c>
      <c r="H1432" t="s">
        <v>2986</v>
      </c>
    </row>
    <row r="1433" spans="1:8" ht="15" customHeight="1" x14ac:dyDescent="0.25">
      <c r="A1433" t="s">
        <v>2628</v>
      </c>
      <c r="B1433" t="s">
        <v>2629</v>
      </c>
      <c r="C1433" s="1">
        <v>46183</v>
      </c>
      <c r="D1433" s="5">
        <f>1.84*3</f>
        <v>5.5200000000000005</v>
      </c>
      <c r="E1433" t="s">
        <v>558</v>
      </c>
      <c r="F1433" t="s">
        <v>1049</v>
      </c>
      <c r="G1433" t="s">
        <v>1026</v>
      </c>
      <c r="H1433" t="s">
        <v>2987</v>
      </c>
    </row>
    <row r="1434" spans="1:8" ht="15" customHeight="1" x14ac:dyDescent="0.25">
      <c r="A1434" t="s">
        <v>2581</v>
      </c>
      <c r="B1434" t="s">
        <v>2582</v>
      </c>
      <c r="C1434" s="1">
        <v>46183</v>
      </c>
      <c r="D1434" s="5">
        <f>1.84*3</f>
        <v>5.5200000000000005</v>
      </c>
      <c r="E1434" t="s">
        <v>558</v>
      </c>
      <c r="F1434" t="s">
        <v>1049</v>
      </c>
      <c r="G1434" t="s">
        <v>1026</v>
      </c>
      <c r="H1434" t="s">
        <v>2988</v>
      </c>
    </row>
    <row r="1435" spans="1:8" ht="15" customHeight="1" x14ac:dyDescent="0.25">
      <c r="A1435" t="s">
        <v>2989</v>
      </c>
      <c r="B1435" t="s">
        <v>2990</v>
      </c>
      <c r="C1435" s="1">
        <v>46183</v>
      </c>
      <c r="D1435" s="5">
        <v>26</v>
      </c>
      <c r="E1435" t="s">
        <v>558</v>
      </c>
      <c r="F1435" t="s">
        <v>1049</v>
      </c>
      <c r="G1435" t="s">
        <v>128</v>
      </c>
      <c r="H1435" t="s">
        <v>2991</v>
      </c>
    </row>
    <row r="1436" spans="1:8" ht="15" customHeight="1" x14ac:dyDescent="0.25">
      <c r="A1436" s="10" t="s">
        <v>380</v>
      </c>
      <c r="B1436" t="s">
        <v>381</v>
      </c>
      <c r="C1436" s="1">
        <v>46183</v>
      </c>
      <c r="D1436" s="5">
        <v>26</v>
      </c>
      <c r="E1436" t="s">
        <v>558</v>
      </c>
      <c r="F1436" t="s">
        <v>1049</v>
      </c>
      <c r="G1436" t="s">
        <v>128</v>
      </c>
      <c r="H1436" t="s">
        <v>2992</v>
      </c>
    </row>
    <row r="1437" spans="1:8" ht="15" customHeight="1" x14ac:dyDescent="0.25">
      <c r="A1437" t="s">
        <v>2574</v>
      </c>
      <c r="B1437" t="s">
        <v>2575</v>
      </c>
      <c r="C1437" s="1">
        <v>46183</v>
      </c>
      <c r="D1437" s="5">
        <v>26</v>
      </c>
      <c r="E1437" t="s">
        <v>558</v>
      </c>
      <c r="F1437" t="s">
        <v>1049</v>
      </c>
      <c r="G1437" t="s">
        <v>128</v>
      </c>
      <c r="H1437" t="s">
        <v>2993</v>
      </c>
    </row>
    <row r="1438" spans="1:8" ht="15" customHeight="1" x14ac:dyDescent="0.25">
      <c r="A1438" t="s">
        <v>1979</v>
      </c>
      <c r="B1438" t="s">
        <v>2994</v>
      </c>
      <c r="C1438" s="1">
        <v>46183</v>
      </c>
      <c r="D1438" s="5">
        <v>3.86</v>
      </c>
      <c r="E1438" t="s">
        <v>558</v>
      </c>
      <c r="F1438" t="s">
        <v>1049</v>
      </c>
      <c r="G1438" t="s">
        <v>183</v>
      </c>
      <c r="H1438" t="s">
        <v>2995</v>
      </c>
    </row>
    <row r="1439" spans="1:8" ht="15" customHeight="1" x14ac:dyDescent="0.25">
      <c r="A1439" t="s">
        <v>1547</v>
      </c>
      <c r="B1439" t="s">
        <v>1548</v>
      </c>
      <c r="C1439" s="1">
        <v>46183</v>
      </c>
      <c r="D1439" s="5">
        <v>3.86</v>
      </c>
      <c r="E1439" t="s">
        <v>558</v>
      </c>
      <c r="F1439" t="s">
        <v>1049</v>
      </c>
      <c r="G1439" t="s">
        <v>183</v>
      </c>
      <c r="H1439" t="s">
        <v>2996</v>
      </c>
    </row>
    <row r="1440" spans="1:8" ht="15" customHeight="1" x14ac:dyDescent="0.25">
      <c r="A1440" t="s">
        <v>82</v>
      </c>
      <c r="B1440" t="s">
        <v>83</v>
      </c>
      <c r="C1440" s="1">
        <v>46183</v>
      </c>
      <c r="D1440" s="5">
        <v>3.86</v>
      </c>
      <c r="E1440" t="s">
        <v>558</v>
      </c>
      <c r="F1440" t="s">
        <v>1049</v>
      </c>
      <c r="G1440" t="s">
        <v>183</v>
      </c>
      <c r="H1440" t="s">
        <v>2997</v>
      </c>
    </row>
    <row r="1441" spans="1:8" ht="15" customHeight="1" x14ac:dyDescent="0.25">
      <c r="A1441" t="s">
        <v>2919</v>
      </c>
      <c r="B1441" t="s">
        <v>2920</v>
      </c>
      <c r="C1441" s="1">
        <v>46183</v>
      </c>
      <c r="D1441" s="5">
        <v>5.52</v>
      </c>
      <c r="E1441" t="s">
        <v>558</v>
      </c>
      <c r="F1441" t="s">
        <v>1049</v>
      </c>
      <c r="G1441" t="s">
        <v>264</v>
      </c>
      <c r="H1441" t="s">
        <v>2998</v>
      </c>
    </row>
    <row r="1442" spans="1:8" ht="15" customHeight="1" x14ac:dyDescent="0.25">
      <c r="A1442" t="s">
        <v>2999</v>
      </c>
      <c r="B1442" t="s">
        <v>2999</v>
      </c>
      <c r="C1442" s="1">
        <v>46183</v>
      </c>
      <c r="D1442" s="5">
        <v>69.599999999999994</v>
      </c>
      <c r="E1442" t="s">
        <v>558</v>
      </c>
      <c r="F1442" t="s">
        <v>1049</v>
      </c>
      <c r="G1442" t="s">
        <v>117</v>
      </c>
      <c r="H1442" t="s">
        <v>3000</v>
      </c>
    </row>
    <row r="1443" spans="1:8" ht="15" customHeight="1" x14ac:dyDescent="0.25">
      <c r="A1443" t="s">
        <v>1793</v>
      </c>
      <c r="B1443" t="s">
        <v>1128</v>
      </c>
      <c r="C1443" s="1">
        <v>46183</v>
      </c>
      <c r="D1443" s="5">
        <v>52.2</v>
      </c>
      <c r="E1443" t="s">
        <v>558</v>
      </c>
      <c r="F1443" t="s">
        <v>1049</v>
      </c>
      <c r="G1443" t="s">
        <v>117</v>
      </c>
      <c r="H1443" t="s">
        <v>3001</v>
      </c>
    </row>
    <row r="1444" spans="1:8" ht="15" customHeight="1" x14ac:dyDescent="0.25">
      <c r="A1444" t="s">
        <v>165</v>
      </c>
      <c r="B1444" t="s">
        <v>166</v>
      </c>
      <c r="C1444" s="1">
        <v>46183</v>
      </c>
      <c r="D1444" s="5">
        <v>150.6</v>
      </c>
      <c r="E1444" t="s">
        <v>558</v>
      </c>
      <c r="F1444" t="s">
        <v>1049</v>
      </c>
      <c r="G1444" t="s">
        <v>128</v>
      </c>
      <c r="H1444" t="s">
        <v>3002</v>
      </c>
    </row>
    <row r="1445" spans="1:8" ht="15" customHeight="1" x14ac:dyDescent="0.25">
      <c r="A1445" t="s">
        <v>156</v>
      </c>
      <c r="B1445" t="s">
        <v>157</v>
      </c>
      <c r="C1445" s="1">
        <v>46183</v>
      </c>
      <c r="D1445" s="5">
        <v>3.86</v>
      </c>
      <c r="E1445" t="s">
        <v>558</v>
      </c>
      <c r="F1445" t="s">
        <v>1049</v>
      </c>
      <c r="G1445" t="s">
        <v>148</v>
      </c>
      <c r="H1445" t="s">
        <v>3003</v>
      </c>
    </row>
    <row r="1446" spans="1:8" ht="15" customHeight="1" x14ac:dyDescent="0.25">
      <c r="A1446" t="s">
        <v>3004</v>
      </c>
      <c r="B1446" t="s">
        <v>3005</v>
      </c>
      <c r="C1446" s="1">
        <v>46183</v>
      </c>
      <c r="D1446" s="5">
        <v>141.79</v>
      </c>
      <c r="E1446" t="s">
        <v>558</v>
      </c>
      <c r="F1446" t="s">
        <v>1049</v>
      </c>
      <c r="G1446" t="s">
        <v>314</v>
      </c>
      <c r="H1446" t="s">
        <v>3006</v>
      </c>
    </row>
    <row r="1447" spans="1:8" ht="15" customHeight="1" x14ac:dyDescent="0.25">
      <c r="A1447" t="s">
        <v>1733</v>
      </c>
      <c r="B1447" t="s">
        <v>1734</v>
      </c>
      <c r="C1447" s="1">
        <v>46183</v>
      </c>
      <c r="D1447" s="5">
        <v>69.599999999999994</v>
      </c>
      <c r="E1447" t="s">
        <v>558</v>
      </c>
      <c r="F1447" t="s">
        <v>1049</v>
      </c>
      <c r="G1447" t="s">
        <v>314</v>
      </c>
      <c r="H1447" t="s">
        <v>3007</v>
      </c>
    </row>
    <row r="1448" spans="1:8" ht="15" customHeight="1" x14ac:dyDescent="0.25">
      <c r="A1448" t="s">
        <v>3008</v>
      </c>
      <c r="B1448" t="s">
        <v>3009</v>
      </c>
      <c r="C1448" s="1">
        <v>46183</v>
      </c>
      <c r="D1448" s="5">
        <v>150.6</v>
      </c>
      <c r="E1448" t="s">
        <v>558</v>
      </c>
      <c r="F1448" t="s">
        <v>1049</v>
      </c>
      <c r="G1448" t="s">
        <v>296</v>
      </c>
      <c r="H1448" t="s">
        <v>3010</v>
      </c>
    </row>
    <row r="1449" spans="1:8" ht="15" customHeight="1" x14ac:dyDescent="0.25">
      <c r="A1449" t="s">
        <v>3011</v>
      </c>
      <c r="B1449" t="s">
        <v>3012</v>
      </c>
      <c r="C1449" s="1">
        <v>46183</v>
      </c>
      <c r="D1449" s="5">
        <v>150.6</v>
      </c>
      <c r="E1449" t="s">
        <v>558</v>
      </c>
      <c r="F1449" t="s">
        <v>1049</v>
      </c>
      <c r="G1449" t="s">
        <v>296</v>
      </c>
      <c r="H1449" t="s">
        <v>3013</v>
      </c>
    </row>
    <row r="1450" spans="1:8" ht="15" customHeight="1" x14ac:dyDescent="0.25">
      <c r="A1450" t="s">
        <v>2724</v>
      </c>
      <c r="B1450" t="s">
        <v>2725</v>
      </c>
      <c r="C1450" s="1">
        <v>46183</v>
      </c>
      <c r="D1450" s="5">
        <v>150.6</v>
      </c>
      <c r="E1450" t="s">
        <v>558</v>
      </c>
      <c r="F1450" t="s">
        <v>1049</v>
      </c>
      <c r="G1450" t="s">
        <v>128</v>
      </c>
      <c r="H1450" t="s">
        <v>3014</v>
      </c>
    </row>
    <row r="1451" spans="1:8" ht="15" customHeight="1" x14ac:dyDescent="0.25">
      <c r="A1451" t="s">
        <v>171</v>
      </c>
      <c r="B1451" t="s">
        <v>172</v>
      </c>
      <c r="C1451" s="1">
        <v>46183</v>
      </c>
      <c r="D1451" s="5">
        <v>3.86</v>
      </c>
      <c r="E1451" t="s">
        <v>558</v>
      </c>
      <c r="F1451" t="s">
        <v>1049</v>
      </c>
      <c r="G1451" t="s">
        <v>148</v>
      </c>
      <c r="H1451" t="s">
        <v>3015</v>
      </c>
    </row>
    <row r="1452" spans="1:8" ht="15" customHeight="1" x14ac:dyDescent="0.25">
      <c r="A1452" t="s">
        <v>3016</v>
      </c>
      <c r="B1452" t="s">
        <v>3017</v>
      </c>
      <c r="C1452" s="1">
        <v>46183</v>
      </c>
      <c r="D1452" s="5">
        <v>38.520000000000003</v>
      </c>
      <c r="E1452" t="s">
        <v>558</v>
      </c>
      <c r="F1452" t="s">
        <v>1049</v>
      </c>
      <c r="G1452" t="s">
        <v>260</v>
      </c>
      <c r="H1452" t="s">
        <v>3018</v>
      </c>
    </row>
    <row r="1453" spans="1:8" ht="15" customHeight="1" x14ac:dyDescent="0.25">
      <c r="A1453" t="s">
        <v>3019</v>
      </c>
      <c r="B1453" t="s">
        <v>3020</v>
      </c>
      <c r="C1453" s="1">
        <v>46183</v>
      </c>
      <c r="D1453" s="5">
        <v>3.6379999999999999</v>
      </c>
      <c r="E1453" t="s">
        <v>558</v>
      </c>
      <c r="F1453" t="s">
        <v>1049</v>
      </c>
      <c r="G1453" t="s">
        <v>255</v>
      </c>
      <c r="H1453" t="s">
        <v>3021</v>
      </c>
    </row>
    <row r="1454" spans="1:8" ht="15" customHeight="1" x14ac:dyDescent="0.25">
      <c r="A1454" t="s">
        <v>2616</v>
      </c>
      <c r="B1454" t="s">
        <v>2617</v>
      </c>
      <c r="C1454" s="1">
        <v>46183</v>
      </c>
      <c r="D1454" s="5">
        <v>5.52</v>
      </c>
      <c r="E1454" t="s">
        <v>558</v>
      </c>
      <c r="F1454" t="s">
        <v>1049</v>
      </c>
      <c r="G1454" t="s">
        <v>2753</v>
      </c>
      <c r="H1454" t="s">
        <v>3022</v>
      </c>
    </row>
    <row r="1455" spans="1:8" ht="15" customHeight="1" x14ac:dyDescent="0.25">
      <c r="A1455" t="s">
        <v>2355</v>
      </c>
      <c r="B1455" t="s">
        <v>2356</v>
      </c>
      <c r="C1455" s="1">
        <v>46184</v>
      </c>
      <c r="D1455" s="5">
        <v>3.68</v>
      </c>
      <c r="E1455" t="s">
        <v>558</v>
      </c>
      <c r="F1455" t="s">
        <v>1049</v>
      </c>
      <c r="G1455" t="s">
        <v>369</v>
      </c>
      <c r="H1455" t="s">
        <v>3023</v>
      </c>
    </row>
    <row r="1456" spans="1:8" ht="15" customHeight="1" x14ac:dyDescent="0.25">
      <c r="A1456" t="s">
        <v>1691</v>
      </c>
      <c r="B1456" t="s">
        <v>1080</v>
      </c>
      <c r="C1456" s="1">
        <v>46184</v>
      </c>
      <c r="D1456" s="5">
        <v>31.2</v>
      </c>
      <c r="E1456" t="s">
        <v>558</v>
      </c>
      <c r="F1456" t="s">
        <v>1049</v>
      </c>
      <c r="G1456" t="s">
        <v>124</v>
      </c>
      <c r="H1456" t="s">
        <v>3024</v>
      </c>
    </row>
    <row r="1457" spans="1:8" ht="15" customHeight="1" x14ac:dyDescent="0.25">
      <c r="A1457" t="s">
        <v>981</v>
      </c>
      <c r="B1457" t="s">
        <v>982</v>
      </c>
      <c r="C1457" s="1">
        <v>46184</v>
      </c>
      <c r="D1457" s="5">
        <v>5.52</v>
      </c>
      <c r="E1457" t="s">
        <v>558</v>
      </c>
      <c r="F1457" t="s">
        <v>1049</v>
      </c>
      <c r="G1457" t="s">
        <v>124</v>
      </c>
      <c r="H1457" t="s">
        <v>3025</v>
      </c>
    </row>
    <row r="1458" spans="1:8" ht="15" customHeight="1" x14ac:dyDescent="0.25">
      <c r="A1458" t="s">
        <v>2392</v>
      </c>
      <c r="B1458" t="s">
        <v>2393</v>
      </c>
      <c r="C1458" s="1">
        <v>46184</v>
      </c>
      <c r="D1458" s="5">
        <v>5.52</v>
      </c>
      <c r="E1458" t="s">
        <v>558</v>
      </c>
      <c r="F1458" t="s">
        <v>1049</v>
      </c>
      <c r="G1458" t="s">
        <v>124</v>
      </c>
      <c r="H1458" t="s">
        <v>3026</v>
      </c>
    </row>
    <row r="1459" spans="1:8" ht="15" customHeight="1" x14ac:dyDescent="0.25">
      <c r="A1459" t="s">
        <v>3027</v>
      </c>
      <c r="B1459" t="s">
        <v>3028</v>
      </c>
      <c r="C1459" s="1">
        <v>46184</v>
      </c>
      <c r="D1459" s="5">
        <v>53</v>
      </c>
      <c r="E1459" t="s">
        <v>558</v>
      </c>
      <c r="F1459" t="s">
        <v>1049</v>
      </c>
      <c r="G1459" t="s">
        <v>1502</v>
      </c>
      <c r="H1459" t="s">
        <v>3029</v>
      </c>
    </row>
    <row r="1460" spans="1:8" ht="15" customHeight="1" x14ac:dyDescent="0.25">
      <c r="A1460" t="s">
        <v>2108</v>
      </c>
      <c r="B1460" t="s">
        <v>2109</v>
      </c>
      <c r="C1460" s="1">
        <v>46184</v>
      </c>
      <c r="D1460" s="5">
        <v>26</v>
      </c>
      <c r="E1460" t="s">
        <v>558</v>
      </c>
      <c r="F1460" t="s">
        <v>1049</v>
      </c>
      <c r="G1460" t="s">
        <v>128</v>
      </c>
      <c r="H1460" t="s">
        <v>3030</v>
      </c>
    </row>
    <row r="1461" spans="1:8" ht="15" customHeight="1" x14ac:dyDescent="0.25">
      <c r="A1461" t="s">
        <v>2790</v>
      </c>
      <c r="B1461" t="s">
        <v>2791</v>
      </c>
      <c r="C1461" s="1">
        <v>46184</v>
      </c>
      <c r="D1461" s="5">
        <v>26</v>
      </c>
      <c r="E1461" t="s">
        <v>558</v>
      </c>
      <c r="F1461" t="s">
        <v>1049</v>
      </c>
      <c r="G1461" t="s">
        <v>128</v>
      </c>
      <c r="H1461" t="s">
        <v>3031</v>
      </c>
    </row>
    <row r="1462" spans="1:8" ht="15" customHeight="1" x14ac:dyDescent="0.25">
      <c r="A1462" t="s">
        <v>2724</v>
      </c>
      <c r="B1462" t="s">
        <v>2725</v>
      </c>
      <c r="C1462" s="1">
        <v>46184</v>
      </c>
      <c r="D1462" s="5">
        <v>26</v>
      </c>
      <c r="E1462" t="s">
        <v>558</v>
      </c>
      <c r="F1462" t="s">
        <v>1049</v>
      </c>
      <c r="G1462" t="s">
        <v>128</v>
      </c>
      <c r="H1462" t="s">
        <v>3032</v>
      </c>
    </row>
    <row r="1463" spans="1:8" ht="15" customHeight="1" x14ac:dyDescent="0.25">
      <c r="A1463" t="s">
        <v>752</v>
      </c>
      <c r="B1463" t="s">
        <v>2978</v>
      </c>
      <c r="C1463" s="1">
        <v>46184</v>
      </c>
      <c r="D1463" s="5">
        <v>26</v>
      </c>
      <c r="E1463" t="s">
        <v>558</v>
      </c>
      <c r="F1463" t="s">
        <v>1049</v>
      </c>
      <c r="G1463" t="s">
        <v>128</v>
      </c>
      <c r="H1463" t="s">
        <v>3033</v>
      </c>
    </row>
    <row r="1464" spans="1:8" ht="15" customHeight="1" x14ac:dyDescent="0.25">
      <c r="A1464" t="s">
        <v>3034</v>
      </c>
      <c r="B1464" t="s">
        <v>3035</v>
      </c>
      <c r="C1464" s="1">
        <v>46184</v>
      </c>
      <c r="D1464" s="5">
        <v>38.520000000000003</v>
      </c>
      <c r="E1464" t="s">
        <v>558</v>
      </c>
      <c r="F1464" t="s">
        <v>1049</v>
      </c>
      <c r="G1464" t="s">
        <v>309</v>
      </c>
      <c r="H1464" t="s">
        <v>3036</v>
      </c>
    </row>
    <row r="1465" spans="1:8" ht="15" customHeight="1" x14ac:dyDescent="0.25">
      <c r="A1465" t="s">
        <v>1871</v>
      </c>
      <c r="B1465" t="s">
        <v>1872</v>
      </c>
      <c r="C1465" s="1">
        <v>46184</v>
      </c>
      <c r="D1465" s="5">
        <v>5.52</v>
      </c>
      <c r="E1465" t="s">
        <v>558</v>
      </c>
      <c r="F1465" t="s">
        <v>1049</v>
      </c>
      <c r="G1465" t="s">
        <v>128</v>
      </c>
      <c r="H1465" t="s">
        <v>3037</v>
      </c>
    </row>
    <row r="1466" spans="1:8" ht="15" customHeight="1" x14ac:dyDescent="0.25">
      <c r="A1466" t="s">
        <v>165</v>
      </c>
      <c r="B1466" t="s">
        <v>166</v>
      </c>
      <c r="C1466" s="1">
        <v>46184</v>
      </c>
      <c r="D1466" s="5">
        <v>26</v>
      </c>
      <c r="E1466" t="s">
        <v>558</v>
      </c>
      <c r="F1466" t="s">
        <v>1049</v>
      </c>
      <c r="G1466" t="s">
        <v>128</v>
      </c>
      <c r="H1466" t="s">
        <v>3038</v>
      </c>
    </row>
    <row r="1467" spans="1:8" ht="15" customHeight="1" x14ac:dyDescent="0.25">
      <c r="A1467" t="s">
        <v>412</v>
      </c>
      <c r="B1467" t="s">
        <v>413</v>
      </c>
      <c r="C1467" s="1">
        <v>46184</v>
      </c>
      <c r="D1467" s="5">
        <v>26</v>
      </c>
      <c r="E1467" t="s">
        <v>558</v>
      </c>
      <c r="F1467" t="s">
        <v>1049</v>
      </c>
      <c r="G1467" t="s">
        <v>128</v>
      </c>
      <c r="H1467" t="s">
        <v>3039</v>
      </c>
    </row>
    <row r="1468" spans="1:8" ht="15" customHeight="1" x14ac:dyDescent="0.25">
      <c r="A1468" t="s">
        <v>3040</v>
      </c>
      <c r="B1468" t="s">
        <v>3041</v>
      </c>
      <c r="C1468" s="1">
        <v>46184</v>
      </c>
      <c r="D1468" s="5">
        <v>146.66999999999999</v>
      </c>
      <c r="E1468" t="s">
        <v>558</v>
      </c>
      <c r="F1468" t="s">
        <v>1049</v>
      </c>
      <c r="G1468" t="s">
        <v>3042</v>
      </c>
      <c r="H1468" t="s">
        <v>3043</v>
      </c>
    </row>
    <row r="1469" spans="1:8" ht="15" customHeight="1" x14ac:dyDescent="0.25">
      <c r="A1469" t="s">
        <v>1912</v>
      </c>
      <c r="B1469" t="s">
        <v>1913</v>
      </c>
      <c r="C1469" s="1">
        <v>46184</v>
      </c>
      <c r="D1469" s="5">
        <v>26</v>
      </c>
      <c r="E1469" t="s">
        <v>558</v>
      </c>
      <c r="F1469" t="s">
        <v>1049</v>
      </c>
      <c r="G1469" t="s">
        <v>128</v>
      </c>
      <c r="H1469" t="s">
        <v>3044</v>
      </c>
    </row>
    <row r="1470" spans="1:8" ht="15" customHeight="1" x14ac:dyDescent="0.25">
      <c r="A1470" t="s">
        <v>2720</v>
      </c>
      <c r="B1470" t="s">
        <v>2721</v>
      </c>
      <c r="C1470" s="1">
        <v>46184</v>
      </c>
      <c r="D1470" s="5">
        <v>150.6</v>
      </c>
      <c r="E1470" t="s">
        <v>558</v>
      </c>
      <c r="F1470" t="s">
        <v>1049</v>
      </c>
      <c r="G1470" t="s">
        <v>128</v>
      </c>
      <c r="H1470" t="s">
        <v>3045</v>
      </c>
    </row>
    <row r="1471" spans="1:8" ht="15" customHeight="1" x14ac:dyDescent="0.25">
      <c r="A1471" t="s">
        <v>3046</v>
      </c>
      <c r="B1471" t="s">
        <v>3047</v>
      </c>
      <c r="C1471" s="1">
        <v>46184</v>
      </c>
      <c r="D1471" s="5">
        <v>25.68</v>
      </c>
      <c r="E1471" t="s">
        <v>558</v>
      </c>
      <c r="F1471" t="s">
        <v>1049</v>
      </c>
      <c r="G1471" t="s">
        <v>239</v>
      </c>
      <c r="H1471" t="s">
        <v>3048</v>
      </c>
    </row>
    <row r="1472" spans="1:8" ht="15" customHeight="1" x14ac:dyDescent="0.25">
      <c r="A1472" t="s">
        <v>3049</v>
      </c>
      <c r="B1472" t="s">
        <v>1396</v>
      </c>
      <c r="C1472" s="1">
        <v>46184</v>
      </c>
      <c r="D1472" s="5">
        <v>146.66999999999999</v>
      </c>
      <c r="E1472" t="s">
        <v>558</v>
      </c>
      <c r="F1472" t="s">
        <v>1049</v>
      </c>
      <c r="G1472" t="s">
        <v>222</v>
      </c>
      <c r="H1472" t="s">
        <v>3050</v>
      </c>
    </row>
    <row r="1473" spans="1:8" ht="15" customHeight="1" x14ac:dyDescent="0.25">
      <c r="A1473" t="s">
        <v>2919</v>
      </c>
      <c r="B1473" t="s">
        <v>2920</v>
      </c>
      <c r="C1473" s="1">
        <v>46184</v>
      </c>
      <c r="D1473" s="5">
        <v>3.68</v>
      </c>
      <c r="E1473" t="s">
        <v>558</v>
      </c>
      <c r="F1473" t="s">
        <v>1049</v>
      </c>
      <c r="G1473" t="s">
        <v>264</v>
      </c>
      <c r="H1473" t="s">
        <v>3051</v>
      </c>
    </row>
    <row r="1474" spans="1:8" ht="15" customHeight="1" x14ac:dyDescent="0.25">
      <c r="A1474" t="s">
        <v>2914</v>
      </c>
      <c r="B1474" t="s">
        <v>2915</v>
      </c>
      <c r="C1474" s="1">
        <v>46184</v>
      </c>
      <c r="D1474" s="5">
        <v>124.67</v>
      </c>
      <c r="E1474" t="s">
        <v>558</v>
      </c>
      <c r="F1474" t="s">
        <v>1049</v>
      </c>
      <c r="G1474" t="s">
        <v>264</v>
      </c>
      <c r="H1474" t="s">
        <v>3052</v>
      </c>
    </row>
    <row r="1475" spans="1:8" ht="15" customHeight="1" x14ac:dyDescent="0.25">
      <c r="A1475" t="s">
        <v>3053</v>
      </c>
      <c r="B1475" t="s">
        <v>3054</v>
      </c>
      <c r="C1475" s="1">
        <v>46184</v>
      </c>
      <c r="D1475" s="5">
        <v>3.86</v>
      </c>
      <c r="E1475" t="s">
        <v>558</v>
      </c>
      <c r="F1475" t="s">
        <v>1049</v>
      </c>
      <c r="G1475" t="s">
        <v>183</v>
      </c>
      <c r="H1475" t="s">
        <v>3055</v>
      </c>
    </row>
    <row r="1476" spans="1:8" ht="15" customHeight="1" x14ac:dyDescent="0.25">
      <c r="A1476" t="s">
        <v>3056</v>
      </c>
      <c r="B1476" t="s">
        <v>3057</v>
      </c>
      <c r="C1476" s="1">
        <v>46184</v>
      </c>
      <c r="D1476" s="5">
        <v>20.8</v>
      </c>
      <c r="E1476" t="s">
        <v>558</v>
      </c>
      <c r="F1476" t="s">
        <v>1049</v>
      </c>
      <c r="G1476" t="s">
        <v>3058</v>
      </c>
      <c r="H1476" t="s">
        <v>3059</v>
      </c>
    </row>
    <row r="1477" spans="1:8" ht="15" customHeight="1" x14ac:dyDescent="0.25">
      <c r="A1477" t="s">
        <v>924</v>
      </c>
      <c r="B1477" t="s">
        <v>3060</v>
      </c>
      <c r="C1477" s="1">
        <v>46184</v>
      </c>
      <c r="D1477" s="5">
        <v>3.86</v>
      </c>
      <c r="E1477" t="s">
        <v>558</v>
      </c>
      <c r="F1477" t="s">
        <v>1049</v>
      </c>
      <c r="G1477" t="s">
        <v>183</v>
      </c>
      <c r="H1477" t="s">
        <v>3061</v>
      </c>
    </row>
    <row r="1478" spans="1:8" ht="15" customHeight="1" x14ac:dyDescent="0.25">
      <c r="A1478" t="s">
        <v>3062</v>
      </c>
      <c r="B1478" t="s">
        <v>3063</v>
      </c>
      <c r="C1478" s="1">
        <v>46184</v>
      </c>
      <c r="D1478" s="5">
        <v>3.86</v>
      </c>
      <c r="E1478" t="s">
        <v>558</v>
      </c>
      <c r="F1478" t="s">
        <v>1049</v>
      </c>
      <c r="G1478" t="s">
        <v>183</v>
      </c>
      <c r="H1478" t="s">
        <v>3064</v>
      </c>
    </row>
    <row r="1479" spans="1:8" ht="15" customHeight="1" x14ac:dyDescent="0.25">
      <c r="A1479" t="s">
        <v>2669</v>
      </c>
      <c r="B1479" t="s">
        <v>2670</v>
      </c>
      <c r="C1479" s="1">
        <v>46184</v>
      </c>
      <c r="D1479" s="5">
        <v>69.599999999999994</v>
      </c>
      <c r="E1479" t="s">
        <v>558</v>
      </c>
      <c r="F1479" t="s">
        <v>1049</v>
      </c>
      <c r="G1479" t="s">
        <v>135</v>
      </c>
      <c r="H1479" t="s">
        <v>3065</v>
      </c>
    </row>
    <row r="1480" spans="1:8" ht="15" customHeight="1" x14ac:dyDescent="0.25">
      <c r="A1480" t="s">
        <v>891</v>
      </c>
      <c r="B1480" t="s">
        <v>892</v>
      </c>
      <c r="C1480" s="1">
        <v>46184</v>
      </c>
      <c r="D1480" s="5">
        <v>5.52</v>
      </c>
      <c r="E1480" t="s">
        <v>558</v>
      </c>
      <c r="F1480" t="s">
        <v>1049</v>
      </c>
      <c r="G1480" t="s">
        <v>135</v>
      </c>
      <c r="H1480" t="s">
        <v>3066</v>
      </c>
    </row>
    <row r="1481" spans="1:8" ht="15" customHeight="1" x14ac:dyDescent="0.25">
      <c r="A1481" t="s">
        <v>3067</v>
      </c>
      <c r="B1481" t="s">
        <v>3068</v>
      </c>
      <c r="C1481" s="1">
        <v>46184</v>
      </c>
      <c r="D1481" s="5">
        <v>122.83</v>
      </c>
      <c r="E1481" t="s">
        <v>558</v>
      </c>
      <c r="F1481" t="s">
        <v>1049</v>
      </c>
      <c r="G1481" t="s">
        <v>264</v>
      </c>
      <c r="H1481" t="s">
        <v>3069</v>
      </c>
    </row>
    <row r="1482" spans="1:8" ht="15" customHeight="1" x14ac:dyDescent="0.25">
      <c r="A1482" t="s">
        <v>2310</v>
      </c>
      <c r="B1482" t="s">
        <v>2311</v>
      </c>
      <c r="C1482" s="1">
        <v>46184</v>
      </c>
      <c r="D1482" s="5">
        <v>122.83</v>
      </c>
      <c r="E1482" t="s">
        <v>558</v>
      </c>
      <c r="F1482" t="s">
        <v>1049</v>
      </c>
      <c r="G1482" t="s">
        <v>264</v>
      </c>
      <c r="H1482" t="s">
        <v>3070</v>
      </c>
    </row>
    <row r="1483" spans="1:8" ht="15" customHeight="1" x14ac:dyDescent="0.25">
      <c r="A1483" t="s">
        <v>900</v>
      </c>
      <c r="B1483" t="s">
        <v>901</v>
      </c>
      <c r="C1483" s="1">
        <v>46184</v>
      </c>
      <c r="D1483" s="5">
        <v>3.68</v>
      </c>
      <c r="E1483" t="s">
        <v>558</v>
      </c>
      <c r="F1483" t="s">
        <v>1049</v>
      </c>
      <c r="G1483" t="s">
        <v>1026</v>
      </c>
      <c r="H1483" t="s">
        <v>3071</v>
      </c>
    </row>
    <row r="1484" spans="1:8" ht="15" customHeight="1" x14ac:dyDescent="0.25">
      <c r="A1484" t="s">
        <v>3072</v>
      </c>
      <c r="B1484" t="s">
        <v>3073</v>
      </c>
      <c r="C1484" s="1">
        <v>46184</v>
      </c>
      <c r="D1484" s="5">
        <v>124.67</v>
      </c>
      <c r="E1484" t="s">
        <v>558</v>
      </c>
      <c r="F1484" t="s">
        <v>1049</v>
      </c>
      <c r="G1484" t="s">
        <v>264</v>
      </c>
      <c r="H1484" t="s">
        <v>3074</v>
      </c>
    </row>
    <row r="1485" spans="1:8" ht="15" customHeight="1" x14ac:dyDescent="0.25">
      <c r="A1485" t="s">
        <v>3075</v>
      </c>
      <c r="B1485" t="s">
        <v>3076</v>
      </c>
      <c r="C1485" s="1">
        <v>46184</v>
      </c>
      <c r="D1485" s="5">
        <v>5.52</v>
      </c>
      <c r="E1485" t="s">
        <v>558</v>
      </c>
      <c r="F1485" t="s">
        <v>1049</v>
      </c>
      <c r="G1485" t="s">
        <v>135</v>
      </c>
      <c r="H1485" t="s">
        <v>3077</v>
      </c>
    </row>
    <row r="1486" spans="1:8" ht="15" customHeight="1" x14ac:dyDescent="0.25">
      <c r="A1486" t="s">
        <v>3078</v>
      </c>
      <c r="B1486" t="s">
        <v>3079</v>
      </c>
      <c r="C1486" s="1">
        <v>46184</v>
      </c>
      <c r="D1486" s="5">
        <v>122.83</v>
      </c>
      <c r="E1486" t="s">
        <v>558</v>
      </c>
      <c r="F1486" t="s">
        <v>1049</v>
      </c>
      <c r="G1486" t="s">
        <v>264</v>
      </c>
      <c r="H1486" t="s">
        <v>3080</v>
      </c>
    </row>
    <row r="1487" spans="1:8" ht="15" customHeight="1" x14ac:dyDescent="0.25">
      <c r="A1487" t="s">
        <v>3081</v>
      </c>
      <c r="B1487" t="s">
        <v>3082</v>
      </c>
      <c r="C1487" s="1">
        <v>46184</v>
      </c>
      <c r="D1487" s="5">
        <v>167.96</v>
      </c>
      <c r="E1487" t="s">
        <v>558</v>
      </c>
      <c r="F1487" t="s">
        <v>1049</v>
      </c>
      <c r="G1487" t="s">
        <v>135</v>
      </c>
      <c r="H1487" t="s">
        <v>3083</v>
      </c>
    </row>
    <row r="1488" spans="1:8" ht="15" customHeight="1" x14ac:dyDescent="0.25">
      <c r="A1488" t="s">
        <v>3084</v>
      </c>
      <c r="B1488" t="s">
        <v>3085</v>
      </c>
      <c r="C1488" s="1">
        <v>46184</v>
      </c>
      <c r="D1488" s="5">
        <v>26</v>
      </c>
      <c r="E1488" t="s">
        <v>558</v>
      </c>
      <c r="F1488" t="s">
        <v>1049</v>
      </c>
      <c r="G1488" t="s">
        <v>128</v>
      </c>
      <c r="H1488" t="s">
        <v>3086</v>
      </c>
    </row>
    <row r="1489" spans="1:8" ht="15" customHeight="1" x14ac:dyDescent="0.25">
      <c r="A1489" t="s">
        <v>1043</v>
      </c>
      <c r="B1489" t="s">
        <v>1044</v>
      </c>
      <c r="C1489" s="1">
        <v>46184</v>
      </c>
      <c r="D1489" s="5">
        <v>3.68</v>
      </c>
      <c r="E1489" t="s">
        <v>558</v>
      </c>
      <c r="F1489" t="s">
        <v>1049</v>
      </c>
      <c r="G1489" t="s">
        <v>369</v>
      </c>
      <c r="H1489" t="s">
        <v>3087</v>
      </c>
    </row>
    <row r="1490" spans="1:8" ht="15" customHeight="1" x14ac:dyDescent="0.25">
      <c r="A1490" t="s">
        <v>2358</v>
      </c>
      <c r="B1490" t="s">
        <v>2359</v>
      </c>
      <c r="C1490" s="1">
        <v>46184</v>
      </c>
      <c r="D1490" s="5">
        <v>3.68</v>
      </c>
      <c r="E1490" t="s">
        <v>558</v>
      </c>
      <c r="F1490" t="s">
        <v>1049</v>
      </c>
      <c r="G1490" t="s">
        <v>369</v>
      </c>
      <c r="H1490" t="s">
        <v>3088</v>
      </c>
    </row>
    <row r="1491" spans="1:8" ht="15" customHeight="1" x14ac:dyDescent="0.25">
      <c r="A1491" t="s">
        <v>1709</v>
      </c>
      <c r="B1491" t="s">
        <v>1710</v>
      </c>
      <c r="C1491" s="1">
        <v>46185</v>
      </c>
      <c r="D1491" s="5">
        <v>72.599999999999994</v>
      </c>
      <c r="E1491" t="s">
        <v>558</v>
      </c>
      <c r="F1491" t="s">
        <v>1049</v>
      </c>
      <c r="G1491" t="s">
        <v>124</v>
      </c>
      <c r="H1491" t="s">
        <v>3089</v>
      </c>
    </row>
    <row r="1492" spans="1:8" ht="15" customHeight="1" x14ac:dyDescent="0.25">
      <c r="A1492" t="s">
        <v>3090</v>
      </c>
      <c r="B1492" t="s">
        <v>3091</v>
      </c>
      <c r="C1492" s="1">
        <v>46185</v>
      </c>
      <c r="D1492" s="5">
        <v>20.8</v>
      </c>
      <c r="E1492" t="s">
        <v>558</v>
      </c>
      <c r="F1492" t="s">
        <v>1049</v>
      </c>
      <c r="G1492" t="s">
        <v>369</v>
      </c>
      <c r="H1492" t="s">
        <v>3092</v>
      </c>
    </row>
    <row r="1493" spans="1:8" ht="15" customHeight="1" x14ac:dyDescent="0.25">
      <c r="A1493" t="s">
        <v>2238</v>
      </c>
      <c r="B1493" t="s">
        <v>2239</v>
      </c>
      <c r="C1493" s="1">
        <v>46185</v>
      </c>
      <c r="D1493" s="5">
        <v>3.68</v>
      </c>
      <c r="E1493" t="s">
        <v>558</v>
      </c>
      <c r="F1493" t="s">
        <v>1049</v>
      </c>
      <c r="G1493" t="s">
        <v>369</v>
      </c>
      <c r="H1493" t="s">
        <v>3093</v>
      </c>
    </row>
    <row r="1494" spans="1:8" ht="15" customHeight="1" x14ac:dyDescent="0.25">
      <c r="A1494" t="s">
        <v>1028</v>
      </c>
      <c r="B1494" t="s">
        <v>1029</v>
      </c>
      <c r="C1494" s="1">
        <v>46185</v>
      </c>
      <c r="D1494" s="5">
        <v>5.52</v>
      </c>
      <c r="E1494" t="s">
        <v>558</v>
      </c>
      <c r="F1494" t="s">
        <v>1049</v>
      </c>
      <c r="G1494" t="s">
        <v>135</v>
      </c>
      <c r="H1494" t="s">
        <v>3094</v>
      </c>
    </row>
    <row r="1495" spans="1:8" ht="15" customHeight="1" x14ac:dyDescent="0.25">
      <c r="A1495" t="s">
        <v>1640</v>
      </c>
      <c r="B1495" t="s">
        <v>1641</v>
      </c>
      <c r="C1495" s="1">
        <v>46185</v>
      </c>
      <c r="D1495" s="5">
        <v>20.8</v>
      </c>
      <c r="E1495" t="s">
        <v>558</v>
      </c>
      <c r="F1495" t="s">
        <v>1049</v>
      </c>
      <c r="G1495" t="s">
        <v>264</v>
      </c>
      <c r="H1495" t="s">
        <v>3095</v>
      </c>
    </row>
    <row r="1496" spans="1:8" ht="15" customHeight="1" x14ac:dyDescent="0.25">
      <c r="A1496" t="s">
        <v>2525</v>
      </c>
      <c r="B1496" t="s">
        <v>2526</v>
      </c>
      <c r="C1496" s="1">
        <v>46185</v>
      </c>
      <c r="D1496" s="5">
        <v>17.61</v>
      </c>
      <c r="E1496" t="s">
        <v>558</v>
      </c>
      <c r="F1496" t="s">
        <v>1049</v>
      </c>
      <c r="G1496" t="s">
        <v>3096</v>
      </c>
      <c r="H1496" t="s">
        <v>3097</v>
      </c>
    </row>
    <row r="1497" spans="1:8" ht="15" customHeight="1" x14ac:dyDescent="0.25">
      <c r="A1497" t="s">
        <v>1054</v>
      </c>
      <c r="B1497" t="s">
        <v>1055</v>
      </c>
      <c r="C1497" s="1">
        <v>46185</v>
      </c>
      <c r="D1497" s="5">
        <v>3</v>
      </c>
      <c r="E1497" t="s">
        <v>558</v>
      </c>
      <c r="F1497" t="s">
        <v>1049</v>
      </c>
      <c r="G1497" t="s">
        <v>117</v>
      </c>
      <c r="H1497" t="s">
        <v>3098</v>
      </c>
    </row>
    <row r="1498" spans="1:8" ht="15" customHeight="1" x14ac:dyDescent="0.25">
      <c r="A1498" t="s">
        <v>2243</v>
      </c>
      <c r="B1498" t="s">
        <v>2244</v>
      </c>
      <c r="C1498" s="1">
        <v>46185</v>
      </c>
      <c r="D1498" s="5">
        <v>3</v>
      </c>
      <c r="E1498" t="s">
        <v>558</v>
      </c>
      <c r="F1498" t="s">
        <v>1049</v>
      </c>
      <c r="G1498" t="s">
        <v>117</v>
      </c>
      <c r="H1498" t="s">
        <v>3099</v>
      </c>
    </row>
    <row r="1499" spans="1:8" ht="15" customHeight="1" x14ac:dyDescent="0.25">
      <c r="A1499" t="s">
        <v>3100</v>
      </c>
      <c r="B1499" t="s">
        <v>3101</v>
      </c>
      <c r="C1499" s="1">
        <v>46185</v>
      </c>
      <c r="D1499" s="5">
        <v>52.2</v>
      </c>
      <c r="E1499" t="s">
        <v>558</v>
      </c>
      <c r="F1499" t="s">
        <v>1049</v>
      </c>
      <c r="G1499" t="s">
        <v>117</v>
      </c>
      <c r="H1499" t="s">
        <v>3102</v>
      </c>
    </row>
    <row r="1500" spans="1:8" ht="15" customHeight="1" x14ac:dyDescent="0.25">
      <c r="A1500" t="s">
        <v>435</v>
      </c>
      <c r="B1500" t="s">
        <v>436</v>
      </c>
      <c r="C1500" s="1">
        <v>46185</v>
      </c>
      <c r="D1500" s="5">
        <v>3</v>
      </c>
      <c r="E1500" t="s">
        <v>558</v>
      </c>
      <c r="F1500" t="s">
        <v>1049</v>
      </c>
      <c r="G1500" t="s">
        <v>117</v>
      </c>
      <c r="H1500" t="s">
        <v>3103</v>
      </c>
    </row>
    <row r="1501" spans="1:8" ht="15" customHeight="1" x14ac:dyDescent="0.25">
      <c r="A1501" t="s">
        <v>412</v>
      </c>
      <c r="B1501" t="s">
        <v>413</v>
      </c>
      <c r="C1501" s="1">
        <v>46185</v>
      </c>
      <c r="D1501" s="5">
        <v>26</v>
      </c>
      <c r="E1501" t="s">
        <v>558</v>
      </c>
      <c r="F1501" t="s">
        <v>1049</v>
      </c>
      <c r="G1501" t="s">
        <v>128</v>
      </c>
      <c r="H1501" t="s">
        <v>3104</v>
      </c>
    </row>
    <row r="1502" spans="1:8" ht="15" customHeight="1" x14ac:dyDescent="0.25">
      <c r="A1502" t="s">
        <v>415</v>
      </c>
      <c r="B1502" t="s">
        <v>416</v>
      </c>
      <c r="C1502" s="1">
        <v>46185</v>
      </c>
      <c r="D1502" s="5">
        <v>3.68</v>
      </c>
      <c r="E1502" t="s">
        <v>558</v>
      </c>
      <c r="F1502" t="s">
        <v>1049</v>
      </c>
      <c r="G1502" t="s">
        <v>1502</v>
      </c>
      <c r="H1502" t="s">
        <v>3105</v>
      </c>
    </row>
    <row r="1503" spans="1:8" ht="15" customHeight="1" x14ac:dyDescent="0.25">
      <c r="A1503" t="s">
        <v>3072</v>
      </c>
      <c r="B1503" t="s">
        <v>3073</v>
      </c>
      <c r="C1503" s="1">
        <v>46185</v>
      </c>
      <c r="D1503" s="5">
        <v>5.52</v>
      </c>
      <c r="E1503" t="s">
        <v>558</v>
      </c>
      <c r="F1503" t="s">
        <v>1049</v>
      </c>
      <c r="G1503" t="s">
        <v>264</v>
      </c>
      <c r="H1503" t="s">
        <v>3106</v>
      </c>
    </row>
    <row r="1504" spans="1:8" ht="15" customHeight="1" x14ac:dyDescent="0.25">
      <c r="A1504" t="s">
        <v>3084</v>
      </c>
      <c r="B1504" t="s">
        <v>3085</v>
      </c>
      <c r="C1504" s="1">
        <v>46185</v>
      </c>
      <c r="D1504" s="5">
        <v>26</v>
      </c>
      <c r="E1504" t="s">
        <v>558</v>
      </c>
      <c r="F1504" t="s">
        <v>1049</v>
      </c>
      <c r="G1504" t="s">
        <v>128</v>
      </c>
      <c r="H1504" t="s">
        <v>3107</v>
      </c>
    </row>
    <row r="1505" spans="1:8" ht="15" customHeight="1" x14ac:dyDescent="0.25">
      <c r="A1505" t="s">
        <v>1532</v>
      </c>
      <c r="B1505" t="s">
        <v>393</v>
      </c>
      <c r="C1505" s="1">
        <v>46185</v>
      </c>
      <c r="D1505" s="5">
        <v>26</v>
      </c>
      <c r="E1505" t="s">
        <v>558</v>
      </c>
      <c r="F1505" t="s">
        <v>1049</v>
      </c>
      <c r="G1505" t="s">
        <v>128</v>
      </c>
      <c r="H1505" t="s">
        <v>3108</v>
      </c>
    </row>
    <row r="1506" spans="1:8" ht="15" customHeight="1" x14ac:dyDescent="0.25">
      <c r="A1506" t="s">
        <v>3109</v>
      </c>
      <c r="B1506" t="s">
        <v>3110</v>
      </c>
      <c r="C1506" s="1">
        <v>46185</v>
      </c>
      <c r="D1506" s="5">
        <v>26</v>
      </c>
      <c r="E1506" t="s">
        <v>558</v>
      </c>
      <c r="F1506" t="s">
        <v>1049</v>
      </c>
      <c r="G1506" t="s">
        <v>128</v>
      </c>
      <c r="H1506" t="s">
        <v>3111</v>
      </c>
    </row>
    <row r="1507" spans="1:8" ht="15" customHeight="1" x14ac:dyDescent="0.25">
      <c r="A1507" t="s">
        <v>669</v>
      </c>
      <c r="B1507" t="s">
        <v>670</v>
      </c>
      <c r="C1507" s="1">
        <v>46185</v>
      </c>
      <c r="D1507" s="5">
        <v>31.2</v>
      </c>
      <c r="E1507" t="s">
        <v>558</v>
      </c>
      <c r="F1507" t="s">
        <v>1049</v>
      </c>
      <c r="G1507" t="s">
        <v>292</v>
      </c>
      <c r="H1507" t="s">
        <v>3112</v>
      </c>
    </row>
    <row r="1508" spans="1:8" ht="15" customHeight="1" x14ac:dyDescent="0.25">
      <c r="A1508" t="s">
        <v>2919</v>
      </c>
      <c r="B1508" t="s">
        <v>2920</v>
      </c>
      <c r="C1508" s="1">
        <v>46185</v>
      </c>
      <c r="D1508" s="5">
        <f>1.84*3</f>
        <v>5.5200000000000005</v>
      </c>
      <c r="E1508" t="s">
        <v>558</v>
      </c>
      <c r="F1508" t="s">
        <v>1049</v>
      </c>
      <c r="G1508" t="s">
        <v>264</v>
      </c>
      <c r="H1508" t="s">
        <v>3113</v>
      </c>
    </row>
    <row r="1509" spans="1:8" ht="15" customHeight="1" x14ac:dyDescent="0.25">
      <c r="A1509" t="s">
        <v>2919</v>
      </c>
      <c r="B1509" t="s">
        <v>2920</v>
      </c>
      <c r="C1509" s="1">
        <v>46185</v>
      </c>
      <c r="D1509" s="5">
        <f>1.84*3</f>
        <v>5.5200000000000005</v>
      </c>
      <c r="E1509" t="s">
        <v>558</v>
      </c>
      <c r="F1509" t="s">
        <v>1049</v>
      </c>
      <c r="G1509" t="s">
        <v>264</v>
      </c>
      <c r="H1509" t="s">
        <v>3114</v>
      </c>
    </row>
    <row r="1510" spans="1:8" ht="15" customHeight="1" x14ac:dyDescent="0.25">
      <c r="A1510" t="s">
        <v>3115</v>
      </c>
      <c r="B1510" t="s">
        <v>3116</v>
      </c>
      <c r="C1510" s="1">
        <v>46185</v>
      </c>
      <c r="D1510" s="5">
        <f>21.46+1.84</f>
        <v>23.3</v>
      </c>
      <c r="E1510" t="s">
        <v>558</v>
      </c>
      <c r="F1510" t="s">
        <v>1049</v>
      </c>
      <c r="G1510" t="s">
        <v>264</v>
      </c>
      <c r="H1510" t="s">
        <v>3117</v>
      </c>
    </row>
    <row r="1511" spans="1:8" ht="15" customHeight="1" x14ac:dyDescent="0.25">
      <c r="A1511" t="s">
        <v>3118</v>
      </c>
      <c r="B1511" t="s">
        <v>3119</v>
      </c>
      <c r="C1511" s="1">
        <v>46185</v>
      </c>
      <c r="D1511" s="5">
        <v>124.67</v>
      </c>
      <c r="E1511" t="s">
        <v>558</v>
      </c>
      <c r="F1511" t="s">
        <v>1049</v>
      </c>
      <c r="G1511" t="s">
        <v>292</v>
      </c>
      <c r="H1511" t="s">
        <v>3120</v>
      </c>
    </row>
    <row r="1512" spans="1:8" ht="15" customHeight="1" x14ac:dyDescent="0.25">
      <c r="A1512" t="s">
        <v>3121</v>
      </c>
      <c r="B1512" t="s">
        <v>3122</v>
      </c>
      <c r="C1512" s="1">
        <v>46185</v>
      </c>
      <c r="D1512" s="5">
        <v>150.6</v>
      </c>
      <c r="E1512" t="s">
        <v>558</v>
      </c>
      <c r="F1512" t="s">
        <v>1049</v>
      </c>
      <c r="G1512" t="s">
        <v>2538</v>
      </c>
      <c r="H1512" t="s">
        <v>3123</v>
      </c>
    </row>
    <row r="1513" spans="1:8" ht="15" customHeight="1" x14ac:dyDescent="0.25">
      <c r="A1513" t="s">
        <v>3124</v>
      </c>
      <c r="B1513" t="s">
        <v>3125</v>
      </c>
      <c r="C1513" s="1">
        <v>46185</v>
      </c>
      <c r="D1513" s="5">
        <v>141.79</v>
      </c>
      <c r="E1513" t="s">
        <v>558</v>
      </c>
      <c r="F1513" t="s">
        <v>1049</v>
      </c>
      <c r="G1513" t="s">
        <v>1798</v>
      </c>
      <c r="H1513" t="s">
        <v>3126</v>
      </c>
    </row>
    <row r="1514" spans="1:8" ht="15" customHeight="1" x14ac:dyDescent="0.25">
      <c r="A1514" t="s">
        <v>3127</v>
      </c>
      <c r="B1514" t="s">
        <v>3128</v>
      </c>
      <c r="C1514" s="1">
        <v>46185</v>
      </c>
      <c r="D1514" s="5">
        <v>152.53</v>
      </c>
      <c r="E1514" t="s">
        <v>558</v>
      </c>
      <c r="F1514" t="s">
        <v>1049</v>
      </c>
      <c r="G1514" t="s">
        <v>657</v>
      </c>
      <c r="H1514" t="s">
        <v>3129</v>
      </c>
    </row>
    <row r="1515" spans="1:8" ht="15" customHeight="1" x14ac:dyDescent="0.25">
      <c r="A1515" t="s">
        <v>171</v>
      </c>
      <c r="B1515" t="s">
        <v>172</v>
      </c>
      <c r="C1515" s="1">
        <v>46185</v>
      </c>
      <c r="D1515" s="5">
        <v>7.72</v>
      </c>
      <c r="E1515" t="s">
        <v>558</v>
      </c>
      <c r="F1515" t="s">
        <v>1049</v>
      </c>
      <c r="G1515" t="s">
        <v>148</v>
      </c>
      <c r="H1515" t="s">
        <v>3130</v>
      </c>
    </row>
    <row r="1516" spans="1:8" ht="15" customHeight="1" x14ac:dyDescent="0.25">
      <c r="A1516" t="s">
        <v>3131</v>
      </c>
      <c r="B1516" t="s">
        <v>3132</v>
      </c>
      <c r="C1516" s="1">
        <v>46185</v>
      </c>
      <c r="D1516" s="5">
        <v>136.76</v>
      </c>
      <c r="E1516" t="s">
        <v>558</v>
      </c>
      <c r="F1516" t="s">
        <v>1049</v>
      </c>
      <c r="G1516" t="s">
        <v>986</v>
      </c>
      <c r="H1516" t="s">
        <v>3133</v>
      </c>
    </row>
    <row r="1517" spans="1:8" ht="15" customHeight="1" x14ac:dyDescent="0.25">
      <c r="A1517" t="s">
        <v>2184</v>
      </c>
      <c r="B1517" t="s">
        <v>2184</v>
      </c>
      <c r="C1517" s="1">
        <v>46185</v>
      </c>
      <c r="D1517" s="5">
        <v>3.86</v>
      </c>
      <c r="E1517" t="s">
        <v>558</v>
      </c>
      <c r="F1517" t="s">
        <v>1049</v>
      </c>
      <c r="G1517" t="s">
        <v>183</v>
      </c>
      <c r="H1517" t="s">
        <v>3134</v>
      </c>
    </row>
    <row r="1518" spans="1:8" ht="15" customHeight="1" x14ac:dyDescent="0.25">
      <c r="A1518" t="s">
        <v>70</v>
      </c>
      <c r="B1518" t="s">
        <v>71</v>
      </c>
      <c r="C1518" s="1">
        <v>46185</v>
      </c>
      <c r="D1518" s="5">
        <v>5.52</v>
      </c>
      <c r="E1518" t="s">
        <v>558</v>
      </c>
      <c r="F1518" t="s">
        <v>1049</v>
      </c>
      <c r="G1518" t="s">
        <v>260</v>
      </c>
      <c r="H1518" t="s">
        <v>3135</v>
      </c>
    </row>
    <row r="1519" spans="1:8" ht="15" customHeight="1" x14ac:dyDescent="0.25">
      <c r="A1519" t="s">
        <v>29</v>
      </c>
      <c r="B1519" t="s">
        <v>32</v>
      </c>
      <c r="C1519" s="1">
        <v>46185</v>
      </c>
      <c r="D1519" s="5">
        <v>47.31</v>
      </c>
      <c r="E1519" t="s">
        <v>558</v>
      </c>
      <c r="F1519" t="s">
        <v>1049</v>
      </c>
      <c r="G1519" t="s">
        <v>231</v>
      </c>
      <c r="H1519" t="s">
        <v>3136</v>
      </c>
    </row>
    <row r="1520" spans="1:8" ht="15" customHeight="1" x14ac:dyDescent="0.25">
      <c r="A1520" t="s">
        <v>2358</v>
      </c>
      <c r="B1520" t="s">
        <v>2359</v>
      </c>
      <c r="C1520" s="1">
        <v>46187</v>
      </c>
      <c r="D1520" s="5">
        <f>1.84*2</f>
        <v>3.68</v>
      </c>
      <c r="E1520" t="s">
        <v>558</v>
      </c>
      <c r="F1520" t="s">
        <v>1049</v>
      </c>
      <c r="G1520" t="s">
        <v>2529</v>
      </c>
      <c r="H1520" t="s">
        <v>3137</v>
      </c>
    </row>
    <row r="1521" spans="1:8" ht="15" customHeight="1" x14ac:dyDescent="0.25">
      <c r="A1521" t="s">
        <v>3138</v>
      </c>
      <c r="B1521" t="s">
        <v>3139</v>
      </c>
      <c r="C1521" s="1">
        <v>46187</v>
      </c>
      <c r="D1521" s="5">
        <f>10.4*2</f>
        <v>20.8</v>
      </c>
      <c r="E1521" t="s">
        <v>558</v>
      </c>
      <c r="F1521" t="s">
        <v>1049</v>
      </c>
      <c r="G1521" t="s">
        <v>2307</v>
      </c>
      <c r="H1521" t="s">
        <v>3140</v>
      </c>
    </row>
    <row r="1522" spans="1:8" ht="15" customHeight="1" x14ac:dyDescent="0.25">
      <c r="A1522" t="s">
        <v>3019</v>
      </c>
      <c r="B1522" t="s">
        <v>3020</v>
      </c>
      <c r="C1522" s="1">
        <v>46187</v>
      </c>
      <c r="D1522" s="5">
        <f>1.84*2</f>
        <v>3.68</v>
      </c>
      <c r="E1522" t="s">
        <v>558</v>
      </c>
      <c r="F1522" t="s">
        <v>1049</v>
      </c>
      <c r="G1522" t="s">
        <v>2529</v>
      </c>
      <c r="H1522" t="s">
        <v>3141</v>
      </c>
    </row>
    <row r="1523" spans="1:8" ht="15" customHeight="1" x14ac:dyDescent="0.25">
      <c r="A1523" t="s">
        <v>1043</v>
      </c>
      <c r="B1523" t="s">
        <v>1044</v>
      </c>
      <c r="C1523" s="1">
        <v>46187</v>
      </c>
      <c r="D1523" s="5">
        <f>1.84*2</f>
        <v>3.68</v>
      </c>
      <c r="E1523" t="s">
        <v>558</v>
      </c>
      <c r="F1523" t="s">
        <v>1049</v>
      </c>
      <c r="G1523" t="s">
        <v>2529</v>
      </c>
      <c r="H1523" t="s">
        <v>3142</v>
      </c>
    </row>
    <row r="1524" spans="1:8" ht="15" customHeight="1" x14ac:dyDescent="0.25">
      <c r="A1524" t="s">
        <v>3143</v>
      </c>
      <c r="B1524" t="s">
        <v>3144</v>
      </c>
      <c r="C1524" s="1">
        <v>46187</v>
      </c>
      <c r="D1524" s="5">
        <f>22.41*6</f>
        <v>134.46</v>
      </c>
      <c r="E1524" t="s">
        <v>558</v>
      </c>
      <c r="F1524" t="s">
        <v>1049</v>
      </c>
      <c r="G1524" t="s">
        <v>1026</v>
      </c>
      <c r="H1524" t="s">
        <v>3145</v>
      </c>
    </row>
    <row r="1525" spans="1:8" ht="15" customHeight="1" x14ac:dyDescent="0.25">
      <c r="A1525" t="s">
        <v>3146</v>
      </c>
      <c r="B1525" t="s">
        <v>3147</v>
      </c>
      <c r="C1525" s="1">
        <v>46187</v>
      </c>
      <c r="D1525" s="5">
        <f>10.4*2</f>
        <v>20.8</v>
      </c>
      <c r="E1525" t="s">
        <v>558</v>
      </c>
      <c r="F1525" t="s">
        <v>1049</v>
      </c>
      <c r="G1525" t="s">
        <v>2529</v>
      </c>
      <c r="H1525" t="s">
        <v>3148</v>
      </c>
    </row>
    <row r="1526" spans="1:8" ht="15" customHeight="1" x14ac:dyDescent="0.25">
      <c r="A1526" t="s">
        <v>1691</v>
      </c>
      <c r="B1526" t="s">
        <v>1080</v>
      </c>
      <c r="C1526" s="1">
        <v>46188</v>
      </c>
      <c r="D1526" s="5">
        <v>5.52</v>
      </c>
      <c r="E1526" t="s">
        <v>558</v>
      </c>
      <c r="F1526" t="s">
        <v>1049</v>
      </c>
      <c r="G1526" t="s">
        <v>124</v>
      </c>
      <c r="H1526" t="s">
        <v>3149</v>
      </c>
    </row>
    <row r="1527" spans="1:8" ht="15" customHeight="1" x14ac:dyDescent="0.25">
      <c r="A1527" t="s">
        <v>897</v>
      </c>
      <c r="B1527" t="s">
        <v>898</v>
      </c>
      <c r="C1527" s="1">
        <v>46188</v>
      </c>
      <c r="D1527" s="5">
        <v>31.2</v>
      </c>
      <c r="E1527" t="s">
        <v>558</v>
      </c>
      <c r="F1527" t="s">
        <v>1049</v>
      </c>
      <c r="G1527" t="s">
        <v>292</v>
      </c>
      <c r="H1527" t="s">
        <v>3150</v>
      </c>
    </row>
    <row r="1528" spans="1:8" ht="15" customHeight="1" x14ac:dyDescent="0.25">
      <c r="A1528" t="s">
        <v>3151</v>
      </c>
      <c r="B1528" t="s">
        <v>3152</v>
      </c>
      <c r="C1528" s="1">
        <v>46188</v>
      </c>
      <c r="D1528" s="5">
        <v>141.79</v>
      </c>
      <c r="E1528" t="s">
        <v>558</v>
      </c>
      <c r="F1528" t="s">
        <v>1049</v>
      </c>
      <c r="G1528" t="s">
        <v>292</v>
      </c>
      <c r="H1528" t="s">
        <v>3153</v>
      </c>
    </row>
    <row r="1529" spans="1:8" ht="15" customHeight="1" x14ac:dyDescent="0.25">
      <c r="A1529" t="s">
        <v>3154</v>
      </c>
      <c r="B1529" t="s">
        <v>3155</v>
      </c>
      <c r="C1529" s="1">
        <v>46188</v>
      </c>
      <c r="D1529" s="5">
        <v>5.52</v>
      </c>
      <c r="E1529" t="s">
        <v>558</v>
      </c>
      <c r="F1529" t="s">
        <v>1049</v>
      </c>
      <c r="G1529" t="s">
        <v>124</v>
      </c>
      <c r="H1529" t="s">
        <v>3156</v>
      </c>
    </row>
    <row r="1530" spans="1:8" ht="15" customHeight="1" x14ac:dyDescent="0.25">
      <c r="A1530" t="s">
        <v>2433</v>
      </c>
      <c r="B1530" t="s">
        <v>2434</v>
      </c>
      <c r="C1530" s="1">
        <v>46188</v>
      </c>
      <c r="D1530" s="5">
        <v>3</v>
      </c>
      <c r="E1530" t="s">
        <v>558</v>
      </c>
      <c r="F1530" t="s">
        <v>1049</v>
      </c>
      <c r="G1530" t="s">
        <v>117</v>
      </c>
      <c r="H1530" t="s">
        <v>3157</v>
      </c>
    </row>
    <row r="1531" spans="1:8" ht="15" customHeight="1" x14ac:dyDescent="0.25">
      <c r="A1531" t="s">
        <v>1912</v>
      </c>
      <c r="B1531" t="s">
        <v>1913</v>
      </c>
      <c r="C1531" s="1">
        <v>46188</v>
      </c>
      <c r="D1531" s="5">
        <v>26</v>
      </c>
      <c r="E1531" t="s">
        <v>558</v>
      </c>
      <c r="F1531" t="s">
        <v>1049</v>
      </c>
      <c r="G1531" t="s">
        <v>128</v>
      </c>
      <c r="H1531" t="s">
        <v>3158</v>
      </c>
    </row>
    <row r="1532" spans="1:8" ht="15" customHeight="1" x14ac:dyDescent="0.25">
      <c r="A1532" t="s">
        <v>2574</v>
      </c>
      <c r="B1532" t="s">
        <v>2575</v>
      </c>
      <c r="C1532" s="1">
        <v>46188</v>
      </c>
      <c r="D1532" s="5">
        <v>26</v>
      </c>
      <c r="E1532" t="s">
        <v>558</v>
      </c>
      <c r="F1532" t="s">
        <v>1049</v>
      </c>
      <c r="G1532" t="s">
        <v>128</v>
      </c>
      <c r="H1532" t="s">
        <v>3159</v>
      </c>
    </row>
    <row r="1533" spans="1:8" ht="15" customHeight="1" x14ac:dyDescent="0.25">
      <c r="A1533" t="s">
        <v>3160</v>
      </c>
      <c r="B1533" t="s">
        <v>3161</v>
      </c>
      <c r="C1533" s="1">
        <v>46188</v>
      </c>
      <c r="D1533" s="5">
        <v>141.79</v>
      </c>
      <c r="E1533" t="s">
        <v>558</v>
      </c>
      <c r="F1533" t="s">
        <v>1049</v>
      </c>
      <c r="G1533" t="s">
        <v>1689</v>
      </c>
      <c r="H1533" t="s">
        <v>3162</v>
      </c>
    </row>
    <row r="1534" spans="1:8" ht="15" customHeight="1" x14ac:dyDescent="0.25">
      <c r="A1534" t="s">
        <v>2587</v>
      </c>
      <c r="B1534" t="s">
        <v>2210</v>
      </c>
      <c r="C1534" s="1">
        <v>46188</v>
      </c>
      <c r="D1534" s="5">
        <v>26</v>
      </c>
      <c r="E1534" t="s">
        <v>558</v>
      </c>
      <c r="F1534" t="s">
        <v>1049</v>
      </c>
      <c r="G1534" t="s">
        <v>128</v>
      </c>
      <c r="H1534" t="s">
        <v>3163</v>
      </c>
    </row>
    <row r="1535" spans="1:8" ht="15" customHeight="1" x14ac:dyDescent="0.25">
      <c r="A1535" t="s">
        <v>277</v>
      </c>
      <c r="B1535" t="s">
        <v>278</v>
      </c>
      <c r="C1535" s="1">
        <v>46188</v>
      </c>
      <c r="D1535" s="5">
        <v>5.52</v>
      </c>
      <c r="E1535" t="s">
        <v>558</v>
      </c>
      <c r="F1535" t="s">
        <v>1049</v>
      </c>
      <c r="G1535" t="s">
        <v>124</v>
      </c>
      <c r="H1535" t="s">
        <v>3164</v>
      </c>
    </row>
    <row r="1536" spans="1:8" ht="15" customHeight="1" x14ac:dyDescent="0.25">
      <c r="A1536" t="s">
        <v>2392</v>
      </c>
      <c r="B1536" t="s">
        <v>2393</v>
      </c>
      <c r="C1536" s="1">
        <v>46188</v>
      </c>
      <c r="D1536" s="5">
        <v>5.52</v>
      </c>
      <c r="E1536" t="s">
        <v>558</v>
      </c>
      <c r="F1536" t="s">
        <v>1049</v>
      </c>
      <c r="G1536" t="s">
        <v>124</v>
      </c>
      <c r="H1536" t="s">
        <v>3165</v>
      </c>
    </row>
    <row r="1537" spans="1:8" ht="15" customHeight="1" x14ac:dyDescent="0.25">
      <c r="A1537" t="s">
        <v>1833</v>
      </c>
      <c r="B1537" t="s">
        <v>1834</v>
      </c>
      <c r="C1537" s="1">
        <v>46188</v>
      </c>
      <c r="D1537" s="5">
        <v>5.52</v>
      </c>
      <c r="E1537" t="s">
        <v>558</v>
      </c>
      <c r="F1537" t="s">
        <v>1049</v>
      </c>
      <c r="G1537" t="s">
        <v>124</v>
      </c>
      <c r="H1537" t="s">
        <v>3166</v>
      </c>
    </row>
    <row r="1538" spans="1:8" ht="15" customHeight="1" x14ac:dyDescent="0.25">
      <c r="A1538" t="s">
        <v>3084</v>
      </c>
      <c r="B1538" t="s">
        <v>3085</v>
      </c>
      <c r="C1538" s="1">
        <v>46188</v>
      </c>
      <c r="D1538" s="5">
        <v>26</v>
      </c>
      <c r="E1538" t="s">
        <v>558</v>
      </c>
      <c r="F1538" t="s">
        <v>1049</v>
      </c>
      <c r="G1538" t="s">
        <v>128</v>
      </c>
      <c r="H1538" t="s">
        <v>3167</v>
      </c>
    </row>
    <row r="1539" spans="1:8" ht="15" customHeight="1" x14ac:dyDescent="0.25">
      <c r="A1539" t="s">
        <v>1547</v>
      </c>
      <c r="B1539" t="s">
        <v>1548</v>
      </c>
      <c r="C1539" s="1">
        <v>46188</v>
      </c>
      <c r="D1539" s="5">
        <v>3.86</v>
      </c>
      <c r="E1539" t="s">
        <v>558</v>
      </c>
      <c r="F1539" t="s">
        <v>1049</v>
      </c>
      <c r="G1539" t="s">
        <v>148</v>
      </c>
      <c r="H1539" t="s">
        <v>3168</v>
      </c>
    </row>
    <row r="1540" spans="1:8" ht="15" customHeight="1" x14ac:dyDescent="0.25">
      <c r="A1540" t="s">
        <v>3169</v>
      </c>
      <c r="B1540" t="s">
        <v>2932</v>
      </c>
      <c r="C1540" s="1">
        <v>46188</v>
      </c>
      <c r="D1540" s="5">
        <v>3.68</v>
      </c>
      <c r="E1540" t="s">
        <v>558</v>
      </c>
      <c r="F1540" t="s">
        <v>1049</v>
      </c>
      <c r="G1540" t="s">
        <v>264</v>
      </c>
      <c r="H1540" t="s">
        <v>3170</v>
      </c>
    </row>
    <row r="1541" spans="1:8" ht="15" customHeight="1" x14ac:dyDescent="0.25">
      <c r="A1541" t="s">
        <v>2310</v>
      </c>
      <c r="B1541" t="s">
        <v>2311</v>
      </c>
      <c r="C1541" s="1">
        <v>46188</v>
      </c>
      <c r="D1541" s="5">
        <v>133.83000000000001</v>
      </c>
      <c r="E1541" t="s">
        <v>558</v>
      </c>
      <c r="F1541" t="s">
        <v>1049</v>
      </c>
      <c r="G1541" t="s">
        <v>264</v>
      </c>
      <c r="H1541" t="s">
        <v>3171</v>
      </c>
    </row>
    <row r="1542" spans="1:8" ht="15" customHeight="1" x14ac:dyDescent="0.25">
      <c r="A1542" t="s">
        <v>3172</v>
      </c>
      <c r="B1542" t="s">
        <v>3173</v>
      </c>
      <c r="C1542" s="1">
        <v>46188</v>
      </c>
      <c r="D1542" s="5">
        <v>26</v>
      </c>
      <c r="E1542" t="s">
        <v>558</v>
      </c>
      <c r="F1542" t="s">
        <v>1049</v>
      </c>
      <c r="G1542" t="s">
        <v>128</v>
      </c>
      <c r="H1542" t="s">
        <v>3174</v>
      </c>
    </row>
    <row r="1543" spans="1:8" ht="15" customHeight="1" x14ac:dyDescent="0.25">
      <c r="A1543" t="s">
        <v>364</v>
      </c>
      <c r="B1543" t="s">
        <v>365</v>
      </c>
      <c r="C1543" s="1">
        <v>46188</v>
      </c>
      <c r="D1543" s="5">
        <v>38.520000000000003</v>
      </c>
      <c r="E1543" t="s">
        <v>558</v>
      </c>
      <c r="F1543" t="s">
        <v>1049</v>
      </c>
      <c r="G1543" t="s">
        <v>128</v>
      </c>
      <c r="H1543" t="s">
        <v>3175</v>
      </c>
    </row>
    <row r="1544" spans="1:8" ht="15" customHeight="1" x14ac:dyDescent="0.25">
      <c r="A1544" t="s">
        <v>15</v>
      </c>
      <c r="B1544" t="s">
        <v>383</v>
      </c>
      <c r="C1544" s="1">
        <v>46188</v>
      </c>
      <c r="D1544" s="5">
        <v>38.520000000000003</v>
      </c>
      <c r="E1544" t="s">
        <v>558</v>
      </c>
      <c r="F1544" t="s">
        <v>1049</v>
      </c>
      <c r="G1544" t="s">
        <v>128</v>
      </c>
      <c r="H1544" t="s">
        <v>3176</v>
      </c>
    </row>
    <row r="1545" spans="1:8" ht="15" customHeight="1" x14ac:dyDescent="0.25">
      <c r="A1545" t="s">
        <v>304</v>
      </c>
      <c r="B1545" t="s">
        <v>305</v>
      </c>
      <c r="C1545" s="1">
        <v>46188</v>
      </c>
      <c r="D1545" s="5">
        <v>3.68</v>
      </c>
      <c r="E1545" t="s">
        <v>558</v>
      </c>
      <c r="F1545" t="s">
        <v>1049</v>
      </c>
      <c r="G1545" t="s">
        <v>264</v>
      </c>
      <c r="H1545" t="s">
        <v>3177</v>
      </c>
    </row>
    <row r="1546" spans="1:8" ht="15" customHeight="1" x14ac:dyDescent="0.25">
      <c r="A1546" t="s">
        <v>364</v>
      </c>
      <c r="B1546" t="s">
        <v>365</v>
      </c>
      <c r="C1546" s="1">
        <v>46188</v>
      </c>
      <c r="D1546" s="5">
        <v>26</v>
      </c>
      <c r="E1546" t="s">
        <v>558</v>
      </c>
      <c r="F1546" t="s">
        <v>1049</v>
      </c>
      <c r="G1546" t="s">
        <v>128</v>
      </c>
      <c r="H1546" t="s">
        <v>3178</v>
      </c>
    </row>
    <row r="1547" spans="1:8" ht="15" customHeight="1" x14ac:dyDescent="0.25">
      <c r="A1547" t="s">
        <v>3179</v>
      </c>
      <c r="B1547" t="s">
        <v>2920</v>
      </c>
      <c r="C1547" s="1">
        <v>46188</v>
      </c>
      <c r="D1547" s="5">
        <v>5.52</v>
      </c>
      <c r="E1547" t="s">
        <v>558</v>
      </c>
      <c r="F1547" t="s">
        <v>1049</v>
      </c>
      <c r="G1547" t="s">
        <v>264</v>
      </c>
      <c r="H1547" t="s">
        <v>3180</v>
      </c>
    </row>
    <row r="1548" spans="1:8" ht="15" customHeight="1" x14ac:dyDescent="0.25">
      <c r="A1548" t="s">
        <v>338</v>
      </c>
      <c r="B1548" t="s">
        <v>339</v>
      </c>
      <c r="C1548" s="1">
        <v>46188</v>
      </c>
      <c r="D1548" s="5">
        <v>36.08</v>
      </c>
      <c r="E1548" t="s">
        <v>558</v>
      </c>
      <c r="F1548" t="s">
        <v>1049</v>
      </c>
      <c r="G1548" t="s">
        <v>128</v>
      </c>
      <c r="H1548" t="s">
        <v>3181</v>
      </c>
    </row>
    <row r="1549" spans="1:8" ht="15" customHeight="1" x14ac:dyDescent="0.25">
      <c r="A1549" t="s">
        <v>3115</v>
      </c>
      <c r="B1549" t="s">
        <v>3116</v>
      </c>
      <c r="C1549" s="1">
        <v>46188</v>
      </c>
      <c r="D1549" s="5">
        <v>23</v>
      </c>
      <c r="E1549" t="s">
        <v>558</v>
      </c>
      <c r="F1549" t="s">
        <v>1049</v>
      </c>
      <c r="G1549" t="s">
        <v>264</v>
      </c>
      <c r="H1549" t="s">
        <v>3182</v>
      </c>
    </row>
    <row r="1550" spans="1:8" ht="15" customHeight="1" x14ac:dyDescent="0.25">
      <c r="A1550" t="s">
        <v>146</v>
      </c>
      <c r="B1550" t="s">
        <v>147</v>
      </c>
      <c r="C1550" s="1">
        <v>46188</v>
      </c>
      <c r="D1550" s="5">
        <v>3.86</v>
      </c>
      <c r="E1550" t="s">
        <v>558</v>
      </c>
      <c r="F1550" t="s">
        <v>1049</v>
      </c>
      <c r="G1550" t="s">
        <v>148</v>
      </c>
      <c r="H1550" t="s">
        <v>3183</v>
      </c>
    </row>
    <row r="1551" spans="1:8" ht="15" customHeight="1" x14ac:dyDescent="0.25">
      <c r="A1551" t="s">
        <v>3184</v>
      </c>
      <c r="B1551" t="s">
        <v>3185</v>
      </c>
      <c r="C1551" s="1">
        <v>46188</v>
      </c>
      <c r="D1551" s="5">
        <v>124.67</v>
      </c>
      <c r="E1551" t="s">
        <v>558</v>
      </c>
      <c r="F1551" t="s">
        <v>1049</v>
      </c>
      <c r="G1551" s="3" t="s">
        <v>264</v>
      </c>
      <c r="H1551" t="s">
        <v>3186</v>
      </c>
    </row>
    <row r="1552" spans="1:8" ht="15" customHeight="1" x14ac:dyDescent="0.25">
      <c r="A1552" t="s">
        <v>1292</v>
      </c>
      <c r="B1552" t="s">
        <v>1293</v>
      </c>
      <c r="C1552" s="1">
        <v>46188</v>
      </c>
      <c r="D1552" s="5">
        <v>122.83</v>
      </c>
      <c r="E1552" t="s">
        <v>558</v>
      </c>
      <c r="F1552" t="s">
        <v>1049</v>
      </c>
      <c r="G1552" t="s">
        <v>264</v>
      </c>
      <c r="H1552" t="s">
        <v>3187</v>
      </c>
    </row>
    <row r="1553" spans="1:8" ht="15" customHeight="1" x14ac:dyDescent="0.25">
      <c r="A1553" t="s">
        <v>3067</v>
      </c>
      <c r="B1553" t="s">
        <v>3068</v>
      </c>
      <c r="C1553" s="1">
        <v>46188</v>
      </c>
      <c r="D1553" s="5">
        <v>3.68</v>
      </c>
      <c r="E1553" t="s">
        <v>558</v>
      </c>
      <c r="F1553" t="s">
        <v>1049</v>
      </c>
      <c r="G1553" t="s">
        <v>264</v>
      </c>
      <c r="H1553" t="s">
        <v>3188</v>
      </c>
    </row>
    <row r="1554" spans="1:8" ht="15" customHeight="1" x14ac:dyDescent="0.25">
      <c r="A1554" t="s">
        <v>2914</v>
      </c>
      <c r="B1554" t="s">
        <v>2915</v>
      </c>
      <c r="C1554" s="1">
        <v>46188</v>
      </c>
      <c r="D1554" s="5">
        <v>5.52</v>
      </c>
      <c r="E1554" t="s">
        <v>558</v>
      </c>
      <c r="F1554" t="s">
        <v>1049</v>
      </c>
      <c r="G1554" t="s">
        <v>264</v>
      </c>
      <c r="H1554" t="s">
        <v>3189</v>
      </c>
    </row>
    <row r="1555" spans="1:8" ht="15" customHeight="1" x14ac:dyDescent="0.25">
      <c r="A1555" t="s">
        <v>2851</v>
      </c>
      <c r="B1555" t="s">
        <v>2852</v>
      </c>
      <c r="C1555" s="1">
        <v>46188</v>
      </c>
      <c r="D1555" s="5">
        <v>5.52</v>
      </c>
      <c r="E1555" t="s">
        <v>558</v>
      </c>
      <c r="F1555" t="s">
        <v>1049</v>
      </c>
      <c r="G1555" t="s">
        <v>260</v>
      </c>
      <c r="H1555" t="s">
        <v>3190</v>
      </c>
    </row>
    <row r="1556" spans="1:8" ht="15" customHeight="1" x14ac:dyDescent="0.25">
      <c r="A1556" t="s">
        <v>3131</v>
      </c>
      <c r="B1556" t="s">
        <v>3132</v>
      </c>
      <c r="C1556" s="1">
        <v>46188</v>
      </c>
      <c r="D1556" s="5">
        <v>3.68</v>
      </c>
      <c r="E1556" t="s">
        <v>558</v>
      </c>
      <c r="F1556" t="s">
        <v>1049</v>
      </c>
      <c r="G1556" t="s">
        <v>986</v>
      </c>
      <c r="H1556" t="s">
        <v>3191</v>
      </c>
    </row>
    <row r="1557" spans="1:8" ht="15" customHeight="1" x14ac:dyDescent="0.25">
      <c r="A1557" t="s">
        <v>165</v>
      </c>
      <c r="B1557" t="s">
        <v>166</v>
      </c>
      <c r="C1557" s="1">
        <v>46188</v>
      </c>
      <c r="D1557" s="5">
        <v>150.6</v>
      </c>
      <c r="E1557" t="s">
        <v>558</v>
      </c>
      <c r="F1557" t="s">
        <v>1049</v>
      </c>
      <c r="G1557" t="s">
        <v>128</v>
      </c>
      <c r="H1557" t="s">
        <v>3192</v>
      </c>
    </row>
    <row r="1558" spans="1:8" ht="15" customHeight="1" x14ac:dyDescent="0.25">
      <c r="A1558" t="s">
        <v>1551</v>
      </c>
      <c r="B1558" t="s">
        <v>1508</v>
      </c>
      <c r="C1558" s="1">
        <v>46188</v>
      </c>
      <c r="D1558" s="5">
        <v>5.52</v>
      </c>
      <c r="E1558" t="s">
        <v>558</v>
      </c>
      <c r="F1558" t="s">
        <v>1049</v>
      </c>
      <c r="G1558" t="s">
        <v>260</v>
      </c>
      <c r="H1558" t="s">
        <v>3193</v>
      </c>
    </row>
    <row r="1559" spans="1:8" ht="15" customHeight="1" x14ac:dyDescent="0.25">
      <c r="A1559" t="s">
        <v>335</v>
      </c>
      <c r="B1559" t="s">
        <v>336</v>
      </c>
      <c r="C1559" s="1">
        <v>46188</v>
      </c>
      <c r="D1559" s="5">
        <v>122.83</v>
      </c>
      <c r="E1559" t="s">
        <v>558</v>
      </c>
      <c r="F1559" t="s">
        <v>1049</v>
      </c>
      <c r="G1559" t="s">
        <v>264</v>
      </c>
      <c r="H1559" t="s">
        <v>3194</v>
      </c>
    </row>
    <row r="1560" spans="1:8" ht="15" customHeight="1" x14ac:dyDescent="0.25">
      <c r="A1560" t="s">
        <v>3195</v>
      </c>
      <c r="B1560" t="s">
        <v>3196</v>
      </c>
      <c r="C1560" s="1">
        <v>46188</v>
      </c>
      <c r="D1560" s="5">
        <v>38.520000000000003</v>
      </c>
      <c r="E1560" t="s">
        <v>558</v>
      </c>
      <c r="F1560" t="s">
        <v>1049</v>
      </c>
      <c r="G1560" t="s">
        <v>260</v>
      </c>
      <c r="H1560" t="s">
        <v>3197</v>
      </c>
    </row>
    <row r="1561" spans="1:8" ht="15" customHeight="1" x14ac:dyDescent="0.25">
      <c r="A1561" t="s">
        <v>3179</v>
      </c>
      <c r="B1561" t="s">
        <v>2920</v>
      </c>
      <c r="C1561" s="1">
        <v>46189</v>
      </c>
      <c r="D1561" s="5">
        <v>5.52</v>
      </c>
      <c r="E1561" t="s">
        <v>558</v>
      </c>
      <c r="F1561" t="s">
        <v>1049</v>
      </c>
      <c r="G1561" t="s">
        <v>264</v>
      </c>
      <c r="H1561" t="s">
        <v>3198</v>
      </c>
    </row>
    <row r="1562" spans="1:8" ht="15" customHeight="1" x14ac:dyDescent="0.25">
      <c r="A1562" t="s">
        <v>710</v>
      </c>
      <c r="B1562" t="s">
        <v>711</v>
      </c>
      <c r="C1562" s="1">
        <v>46189</v>
      </c>
      <c r="D1562" s="5">
        <v>3.68</v>
      </c>
      <c r="E1562" t="s">
        <v>558</v>
      </c>
      <c r="F1562" t="s">
        <v>1049</v>
      </c>
      <c r="G1562" t="s">
        <v>264</v>
      </c>
      <c r="H1562" t="s">
        <v>3199</v>
      </c>
    </row>
    <row r="1563" spans="1:8" ht="15" customHeight="1" x14ac:dyDescent="0.25">
      <c r="A1563" t="s">
        <v>3184</v>
      </c>
      <c r="B1563" t="s">
        <v>3185</v>
      </c>
      <c r="C1563" s="1">
        <v>46189</v>
      </c>
      <c r="D1563" s="5">
        <v>5.52</v>
      </c>
      <c r="E1563" t="s">
        <v>558</v>
      </c>
      <c r="F1563" t="s">
        <v>1049</v>
      </c>
      <c r="G1563" t="s">
        <v>264</v>
      </c>
      <c r="H1563" t="s">
        <v>3200</v>
      </c>
    </row>
    <row r="1564" spans="1:8" ht="15" customHeight="1" x14ac:dyDescent="0.25">
      <c r="A1564" t="s">
        <v>3201</v>
      </c>
      <c r="B1564" t="s">
        <v>3202</v>
      </c>
      <c r="C1564" s="1">
        <v>46189</v>
      </c>
      <c r="D1564" s="5">
        <v>141.79</v>
      </c>
      <c r="E1564" t="s">
        <v>558</v>
      </c>
      <c r="F1564" t="s">
        <v>1049</v>
      </c>
      <c r="G1564" t="s">
        <v>124</v>
      </c>
      <c r="H1564" t="s">
        <v>3203</v>
      </c>
    </row>
    <row r="1565" spans="1:8" ht="15" customHeight="1" x14ac:dyDescent="0.25">
      <c r="A1565" t="s">
        <v>3204</v>
      </c>
      <c r="B1565" t="s">
        <v>3205</v>
      </c>
      <c r="C1565" s="1">
        <v>46189</v>
      </c>
      <c r="D1565" s="5">
        <v>141.79</v>
      </c>
      <c r="E1565" t="s">
        <v>558</v>
      </c>
      <c r="F1565" t="s">
        <v>1049</v>
      </c>
      <c r="G1565" t="s">
        <v>124</v>
      </c>
      <c r="H1565" t="s">
        <v>3206</v>
      </c>
    </row>
    <row r="1566" spans="1:8" ht="15" customHeight="1" x14ac:dyDescent="0.25">
      <c r="A1566" t="s">
        <v>2758</v>
      </c>
      <c r="B1566" t="s">
        <v>2759</v>
      </c>
      <c r="C1566" s="1">
        <v>46189</v>
      </c>
      <c r="D1566" s="5">
        <v>5.52</v>
      </c>
      <c r="E1566" t="s">
        <v>558</v>
      </c>
      <c r="F1566" t="s">
        <v>1049</v>
      </c>
      <c r="G1566" t="s">
        <v>124</v>
      </c>
      <c r="H1566" t="s">
        <v>3207</v>
      </c>
    </row>
    <row r="1567" spans="1:8" ht="15" customHeight="1" x14ac:dyDescent="0.25">
      <c r="A1567" t="s">
        <v>2664</v>
      </c>
      <c r="B1567" t="s">
        <v>2665</v>
      </c>
      <c r="C1567" s="1">
        <v>46189</v>
      </c>
      <c r="D1567" s="5">
        <v>5.52</v>
      </c>
      <c r="E1567" t="s">
        <v>558</v>
      </c>
      <c r="F1567" t="s">
        <v>1049</v>
      </c>
      <c r="G1567" t="s">
        <v>124</v>
      </c>
      <c r="H1567" t="s">
        <v>3208</v>
      </c>
    </row>
    <row r="1568" spans="1:8" ht="15" customHeight="1" x14ac:dyDescent="0.25">
      <c r="A1568" t="s">
        <v>2925</v>
      </c>
      <c r="B1568" t="s">
        <v>2926</v>
      </c>
      <c r="C1568" s="1">
        <v>46189</v>
      </c>
      <c r="D1568" s="5">
        <v>5.52</v>
      </c>
      <c r="E1568" t="s">
        <v>558</v>
      </c>
      <c r="F1568" t="s">
        <v>1049</v>
      </c>
      <c r="G1568" t="s">
        <v>124</v>
      </c>
      <c r="H1568" t="s">
        <v>3209</v>
      </c>
    </row>
    <row r="1569" spans="1:8" ht="15" customHeight="1" x14ac:dyDescent="0.25">
      <c r="A1569" t="s">
        <v>1691</v>
      </c>
      <c r="B1569" t="s">
        <v>1080</v>
      </c>
      <c r="C1569" s="1">
        <v>46189</v>
      </c>
      <c r="D1569" s="5">
        <v>5.52</v>
      </c>
      <c r="E1569" t="s">
        <v>558</v>
      </c>
      <c r="F1569" t="s">
        <v>1049</v>
      </c>
      <c r="G1569" t="s">
        <v>124</v>
      </c>
      <c r="H1569" t="s">
        <v>3210</v>
      </c>
    </row>
    <row r="1570" spans="1:8" ht="15" customHeight="1" x14ac:dyDescent="0.25">
      <c r="A1570" t="s">
        <v>1292</v>
      </c>
      <c r="B1570" t="s">
        <v>1293</v>
      </c>
      <c r="C1570" s="1">
        <v>46189</v>
      </c>
      <c r="D1570" s="5">
        <v>3.6680000000000001</v>
      </c>
      <c r="E1570" t="s">
        <v>558</v>
      </c>
      <c r="F1570" t="s">
        <v>1049</v>
      </c>
      <c r="G1570" t="s">
        <v>264</v>
      </c>
      <c r="H1570" t="s">
        <v>3211</v>
      </c>
    </row>
    <row r="1571" spans="1:8" ht="15" customHeight="1" x14ac:dyDescent="0.25">
      <c r="A1571" t="s">
        <v>2914</v>
      </c>
      <c r="B1571" t="s">
        <v>2915</v>
      </c>
      <c r="C1571" s="1">
        <v>46189</v>
      </c>
      <c r="D1571" s="5">
        <v>5.52</v>
      </c>
      <c r="E1571" t="s">
        <v>558</v>
      </c>
      <c r="F1571" t="s">
        <v>1049</v>
      </c>
      <c r="G1571" t="s">
        <v>264</v>
      </c>
      <c r="H1571" t="s">
        <v>3212</v>
      </c>
    </row>
    <row r="1572" spans="1:8" ht="15" customHeight="1" x14ac:dyDescent="0.25">
      <c r="A1572" t="s">
        <v>3067</v>
      </c>
      <c r="B1572" t="s">
        <v>3068</v>
      </c>
      <c r="C1572" s="1">
        <v>46189</v>
      </c>
      <c r="D1572" s="5">
        <v>3.68</v>
      </c>
      <c r="E1572" t="s">
        <v>558</v>
      </c>
      <c r="F1572" t="s">
        <v>1049</v>
      </c>
      <c r="G1572" t="s">
        <v>264</v>
      </c>
      <c r="H1572" t="s">
        <v>3213</v>
      </c>
    </row>
    <row r="1573" spans="1:8" ht="15" customHeight="1" x14ac:dyDescent="0.25">
      <c r="A1573" t="s">
        <v>284</v>
      </c>
      <c r="B1573" t="s">
        <v>285</v>
      </c>
      <c r="C1573" s="1">
        <v>46189</v>
      </c>
      <c r="D1573" s="5">
        <v>3</v>
      </c>
      <c r="E1573" t="s">
        <v>558</v>
      </c>
      <c r="F1573" t="s">
        <v>1049</v>
      </c>
      <c r="G1573" t="s">
        <v>117</v>
      </c>
      <c r="H1573" t="s">
        <v>3214</v>
      </c>
    </row>
    <row r="1574" spans="1:8" ht="15" customHeight="1" x14ac:dyDescent="0.25">
      <c r="A1574" t="s">
        <v>2790</v>
      </c>
      <c r="B1574" t="s">
        <v>2791</v>
      </c>
      <c r="C1574" s="1">
        <v>46189</v>
      </c>
      <c r="D1574" s="5">
        <v>26</v>
      </c>
      <c r="E1574" t="s">
        <v>558</v>
      </c>
      <c r="F1574" t="s">
        <v>1049</v>
      </c>
      <c r="G1574" t="s">
        <v>128</v>
      </c>
      <c r="H1574" t="s">
        <v>3215</v>
      </c>
    </row>
    <row r="1575" spans="1:8" ht="15" customHeight="1" x14ac:dyDescent="0.25">
      <c r="A1575" t="s">
        <v>3216</v>
      </c>
      <c r="B1575" t="s">
        <v>3217</v>
      </c>
      <c r="C1575" s="1">
        <v>46189</v>
      </c>
      <c r="D1575" s="5">
        <v>69.599999999999994</v>
      </c>
      <c r="E1575" t="s">
        <v>558</v>
      </c>
      <c r="F1575" t="s">
        <v>1049</v>
      </c>
      <c r="G1575" t="s">
        <v>117</v>
      </c>
      <c r="H1575" t="s">
        <v>3218</v>
      </c>
    </row>
    <row r="1576" spans="1:8" ht="15" customHeight="1" x14ac:dyDescent="0.25">
      <c r="A1576" t="s">
        <v>549</v>
      </c>
      <c r="B1576" t="s">
        <v>3219</v>
      </c>
      <c r="C1576" s="1">
        <v>46189</v>
      </c>
      <c r="D1576" s="5">
        <v>112.05</v>
      </c>
      <c r="E1576" t="s">
        <v>558</v>
      </c>
      <c r="F1576" t="s">
        <v>1049</v>
      </c>
      <c r="G1576" t="s">
        <v>1689</v>
      </c>
      <c r="H1576" t="s">
        <v>3220</v>
      </c>
    </row>
    <row r="1577" spans="1:8" ht="15" customHeight="1" x14ac:dyDescent="0.25">
      <c r="A1577" t="s">
        <v>3221</v>
      </c>
      <c r="B1577" t="s">
        <v>3222</v>
      </c>
      <c r="C1577" s="1">
        <v>46189</v>
      </c>
      <c r="D1577" s="5">
        <v>3.68</v>
      </c>
      <c r="E1577" t="s">
        <v>558</v>
      </c>
      <c r="F1577" t="s">
        <v>1049</v>
      </c>
      <c r="G1577" t="s">
        <v>264</v>
      </c>
      <c r="H1577" t="s">
        <v>3223</v>
      </c>
    </row>
    <row r="1578" spans="1:8" ht="15" customHeight="1" x14ac:dyDescent="0.25">
      <c r="A1578" t="s">
        <v>171</v>
      </c>
      <c r="B1578" t="s">
        <v>172</v>
      </c>
      <c r="C1578" s="1">
        <v>46189</v>
      </c>
      <c r="D1578" s="5">
        <v>3.86</v>
      </c>
      <c r="E1578" t="s">
        <v>558</v>
      </c>
      <c r="F1578" t="s">
        <v>1049</v>
      </c>
      <c r="G1578" t="s">
        <v>148</v>
      </c>
      <c r="H1578" t="s">
        <v>3224</v>
      </c>
    </row>
    <row r="1579" spans="1:8" ht="15" customHeight="1" x14ac:dyDescent="0.25">
      <c r="A1579" t="s">
        <v>870</v>
      </c>
      <c r="B1579" t="s">
        <v>871</v>
      </c>
      <c r="C1579" s="1">
        <v>46189</v>
      </c>
      <c r="D1579" s="5">
        <v>31.54</v>
      </c>
      <c r="E1579" t="s">
        <v>558</v>
      </c>
      <c r="F1579" t="s">
        <v>1049</v>
      </c>
      <c r="G1579" t="s">
        <v>264</v>
      </c>
      <c r="H1579" t="s">
        <v>3225</v>
      </c>
    </row>
    <row r="1580" spans="1:8" ht="15" customHeight="1" x14ac:dyDescent="0.25">
      <c r="A1580" t="s">
        <v>165</v>
      </c>
      <c r="B1580" t="s">
        <v>3226</v>
      </c>
      <c r="C1580" s="1">
        <v>46189</v>
      </c>
      <c r="D1580" s="5">
        <v>26</v>
      </c>
      <c r="E1580" t="s">
        <v>558</v>
      </c>
      <c r="F1580" t="s">
        <v>1049</v>
      </c>
      <c r="G1580" t="s">
        <v>128</v>
      </c>
      <c r="H1580" t="s">
        <v>3227</v>
      </c>
    </row>
    <row r="1581" spans="1:8" ht="15" customHeight="1" x14ac:dyDescent="0.25">
      <c r="A1581" t="s">
        <v>2943</v>
      </c>
      <c r="B1581" t="s">
        <v>2944</v>
      </c>
      <c r="C1581" s="1">
        <v>46189</v>
      </c>
      <c r="D1581" s="5">
        <v>3.86</v>
      </c>
      <c r="E1581" t="s">
        <v>558</v>
      </c>
      <c r="F1581" t="s">
        <v>1049</v>
      </c>
      <c r="G1581" t="s">
        <v>148</v>
      </c>
      <c r="H1581" t="s">
        <v>3228</v>
      </c>
    </row>
    <row r="1582" spans="1:8" ht="15" customHeight="1" x14ac:dyDescent="0.25">
      <c r="A1582" t="s">
        <v>2693</v>
      </c>
      <c r="B1582" t="s">
        <v>2694</v>
      </c>
      <c r="C1582" s="1">
        <v>46189</v>
      </c>
      <c r="D1582" s="5">
        <f>1.84*4</f>
        <v>7.36</v>
      </c>
      <c r="E1582" t="s">
        <v>558</v>
      </c>
      <c r="F1582" t="s">
        <v>1049</v>
      </c>
      <c r="G1582" t="s">
        <v>128</v>
      </c>
      <c r="H1582" t="s">
        <v>3229</v>
      </c>
    </row>
    <row r="1583" spans="1:8" ht="15" customHeight="1" x14ac:dyDescent="0.25">
      <c r="A1583" t="s">
        <v>523</v>
      </c>
      <c r="B1583" t="s">
        <v>3230</v>
      </c>
      <c r="C1583" s="1">
        <v>46189</v>
      </c>
      <c r="D1583" s="5">
        <f>10.4*3</f>
        <v>31.200000000000003</v>
      </c>
      <c r="E1583" t="s">
        <v>558</v>
      </c>
      <c r="F1583" t="s">
        <v>1049</v>
      </c>
      <c r="G1583" t="s">
        <v>2307</v>
      </c>
      <c r="H1583" t="s">
        <v>3231</v>
      </c>
    </row>
    <row r="1584" spans="1:8" ht="15" customHeight="1" x14ac:dyDescent="0.25">
      <c r="A1584" t="s">
        <v>3232</v>
      </c>
      <c r="B1584" t="s">
        <v>3233</v>
      </c>
      <c r="C1584" s="1">
        <v>46189</v>
      </c>
      <c r="D1584" s="5">
        <f>1.84*2+150.99</f>
        <v>154.67000000000002</v>
      </c>
      <c r="E1584" t="s">
        <v>558</v>
      </c>
      <c r="F1584" t="s">
        <v>1049</v>
      </c>
      <c r="G1584" t="s">
        <v>264</v>
      </c>
      <c r="H1584" t="s">
        <v>3234</v>
      </c>
    </row>
    <row r="1585" spans="1:8" ht="15" customHeight="1" x14ac:dyDescent="0.25">
      <c r="A1585" t="s">
        <v>415</v>
      </c>
      <c r="B1585" t="s">
        <v>416</v>
      </c>
      <c r="C1585" s="1">
        <v>46189</v>
      </c>
      <c r="D1585" s="5">
        <f>1.84*3</f>
        <v>5.5200000000000005</v>
      </c>
      <c r="E1585" t="s">
        <v>558</v>
      </c>
      <c r="F1585" t="s">
        <v>1049</v>
      </c>
      <c r="G1585" t="s">
        <v>1026</v>
      </c>
      <c r="H1585" t="s">
        <v>3235</v>
      </c>
    </row>
    <row r="1586" spans="1:8" ht="15" customHeight="1" x14ac:dyDescent="0.25">
      <c r="A1586" t="s">
        <v>792</v>
      </c>
      <c r="B1586" t="s">
        <v>793</v>
      </c>
      <c r="C1586" s="1">
        <v>46189</v>
      </c>
      <c r="D1586" s="5">
        <f>1.84*3</f>
        <v>5.5200000000000005</v>
      </c>
      <c r="E1586" t="s">
        <v>558</v>
      </c>
      <c r="F1586" t="s">
        <v>1049</v>
      </c>
      <c r="G1586" t="s">
        <v>1026</v>
      </c>
      <c r="H1586" t="s">
        <v>3236</v>
      </c>
    </row>
    <row r="1587" spans="1:8" ht="15" customHeight="1" x14ac:dyDescent="0.25">
      <c r="A1587" t="s">
        <v>900</v>
      </c>
      <c r="B1587" t="s">
        <v>901</v>
      </c>
      <c r="C1587" s="1">
        <v>46189</v>
      </c>
      <c r="D1587" s="5">
        <f>1.84*3</f>
        <v>5.5200000000000005</v>
      </c>
      <c r="E1587" t="s">
        <v>558</v>
      </c>
      <c r="F1587" t="s">
        <v>1049</v>
      </c>
      <c r="G1587" t="s">
        <v>1026</v>
      </c>
      <c r="H1587" t="s">
        <v>3237</v>
      </c>
    </row>
    <row r="1588" spans="1:8" ht="15" customHeight="1" x14ac:dyDescent="0.25">
      <c r="A1588" t="s">
        <v>2581</v>
      </c>
      <c r="B1588" t="s">
        <v>2582</v>
      </c>
      <c r="C1588" s="1">
        <v>46189</v>
      </c>
      <c r="D1588" s="5">
        <f>1.84*3</f>
        <v>5.5200000000000005</v>
      </c>
      <c r="E1588" t="s">
        <v>558</v>
      </c>
      <c r="F1588" t="s">
        <v>1049</v>
      </c>
      <c r="G1588" t="s">
        <v>1026</v>
      </c>
      <c r="H1588" t="s">
        <v>3238</v>
      </c>
    </row>
    <row r="1589" spans="1:8" ht="15" customHeight="1" x14ac:dyDescent="0.25">
      <c r="A1589" t="s">
        <v>2628</v>
      </c>
      <c r="B1589" t="s">
        <v>2629</v>
      </c>
      <c r="C1589" s="1">
        <v>46189</v>
      </c>
      <c r="D1589" s="5">
        <f>1.84*3</f>
        <v>5.5200000000000005</v>
      </c>
      <c r="E1589" t="s">
        <v>558</v>
      </c>
      <c r="F1589" t="s">
        <v>1049</v>
      </c>
      <c r="G1589" t="s">
        <v>1026</v>
      </c>
      <c r="H1589" t="s">
        <v>3239</v>
      </c>
    </row>
    <row r="1590" spans="1:8" ht="15" customHeight="1" x14ac:dyDescent="0.25">
      <c r="A1590" t="s">
        <v>3240</v>
      </c>
      <c r="B1590" t="s">
        <v>472</v>
      </c>
      <c r="C1590" s="1">
        <v>46189</v>
      </c>
      <c r="D1590" s="5">
        <v>3</v>
      </c>
      <c r="E1590" t="s">
        <v>558</v>
      </c>
      <c r="F1590" t="s">
        <v>1049</v>
      </c>
      <c r="G1590" t="s">
        <v>124</v>
      </c>
      <c r="H1590" t="s">
        <v>3241</v>
      </c>
    </row>
    <row r="1591" spans="1:8" ht="15" customHeight="1" x14ac:dyDescent="0.25">
      <c r="A1591" t="s">
        <v>1441</v>
      </c>
      <c r="B1591" t="s">
        <v>1442</v>
      </c>
      <c r="C1591" s="1">
        <v>46189</v>
      </c>
      <c r="D1591" s="5">
        <v>5.52</v>
      </c>
      <c r="E1591" t="s">
        <v>558</v>
      </c>
      <c r="F1591" t="s">
        <v>1049</v>
      </c>
      <c r="G1591" t="s">
        <v>260</v>
      </c>
      <c r="H1591" t="s">
        <v>3242</v>
      </c>
    </row>
    <row r="1592" spans="1:8" ht="15" customHeight="1" x14ac:dyDescent="0.25">
      <c r="A1592" t="s">
        <v>2616</v>
      </c>
      <c r="B1592" t="s">
        <v>2617</v>
      </c>
      <c r="C1592" s="1">
        <v>46189</v>
      </c>
      <c r="D1592" s="5">
        <v>5.52</v>
      </c>
      <c r="E1592" t="s">
        <v>558</v>
      </c>
      <c r="F1592" t="s">
        <v>1049</v>
      </c>
      <c r="G1592" t="s">
        <v>2753</v>
      </c>
      <c r="H1592" t="s">
        <v>3243</v>
      </c>
    </row>
    <row r="1593" spans="1:8" ht="15" customHeight="1" x14ac:dyDescent="0.25">
      <c r="A1593" t="s">
        <v>2790</v>
      </c>
      <c r="B1593" t="s">
        <v>2791</v>
      </c>
      <c r="C1593" s="1">
        <v>46190</v>
      </c>
      <c r="D1593" s="5">
        <v>26</v>
      </c>
      <c r="E1593" t="s">
        <v>558</v>
      </c>
      <c r="F1593" t="s">
        <v>1049</v>
      </c>
      <c r="G1593" t="s">
        <v>128</v>
      </c>
      <c r="H1593" t="s">
        <v>3244</v>
      </c>
    </row>
    <row r="1594" spans="1:8" ht="15" customHeight="1" x14ac:dyDescent="0.25">
      <c r="A1594" t="s">
        <v>1790</v>
      </c>
      <c r="B1594" t="s">
        <v>1791</v>
      </c>
      <c r="C1594" s="1">
        <v>46190</v>
      </c>
      <c r="D1594" s="5">
        <v>5.52</v>
      </c>
      <c r="E1594" t="s">
        <v>558</v>
      </c>
      <c r="F1594" t="s">
        <v>1049</v>
      </c>
      <c r="G1594" t="s">
        <v>124</v>
      </c>
      <c r="H1594" t="s">
        <v>3245</v>
      </c>
    </row>
    <row r="1595" spans="1:8" ht="15" customHeight="1" x14ac:dyDescent="0.25">
      <c r="A1595" t="s">
        <v>2402</v>
      </c>
      <c r="B1595" t="s">
        <v>2403</v>
      </c>
      <c r="C1595" s="1">
        <v>46190</v>
      </c>
      <c r="D1595" s="5">
        <v>5.52</v>
      </c>
      <c r="E1595" t="s">
        <v>558</v>
      </c>
      <c r="F1595" t="s">
        <v>1049</v>
      </c>
      <c r="G1595" t="s">
        <v>124</v>
      </c>
      <c r="H1595" t="s">
        <v>3246</v>
      </c>
    </row>
    <row r="1596" spans="1:8" ht="15" customHeight="1" x14ac:dyDescent="0.25">
      <c r="A1596" t="s">
        <v>3247</v>
      </c>
      <c r="B1596" t="s">
        <v>3248</v>
      </c>
      <c r="C1596" s="1">
        <v>46190</v>
      </c>
      <c r="D1596" s="5">
        <v>141.79</v>
      </c>
      <c r="E1596" t="s">
        <v>558</v>
      </c>
      <c r="F1596" t="s">
        <v>1049</v>
      </c>
      <c r="G1596" t="s">
        <v>135</v>
      </c>
      <c r="H1596" t="s">
        <v>3249</v>
      </c>
    </row>
    <row r="1597" spans="1:8" ht="15" customHeight="1" x14ac:dyDescent="0.25">
      <c r="A1597" t="s">
        <v>2036</v>
      </c>
      <c r="B1597" t="s">
        <v>2953</v>
      </c>
      <c r="C1597" s="1">
        <v>46190</v>
      </c>
      <c r="D1597" s="5">
        <v>5.52</v>
      </c>
      <c r="E1597" t="s">
        <v>558</v>
      </c>
      <c r="F1597" t="s">
        <v>1049</v>
      </c>
      <c r="G1597" t="s">
        <v>124</v>
      </c>
      <c r="H1597" t="s">
        <v>3250</v>
      </c>
    </row>
    <row r="1598" spans="1:8" ht="15" customHeight="1" x14ac:dyDescent="0.25">
      <c r="A1598" t="s">
        <v>3251</v>
      </c>
      <c r="B1598" t="s">
        <v>3252</v>
      </c>
      <c r="C1598" s="1">
        <v>46190</v>
      </c>
      <c r="D1598" s="5">
        <v>22.64</v>
      </c>
      <c r="E1598" t="s">
        <v>558</v>
      </c>
      <c r="F1598" t="s">
        <v>1049</v>
      </c>
      <c r="G1598" t="s">
        <v>135</v>
      </c>
      <c r="H1598" t="s">
        <v>3253</v>
      </c>
    </row>
    <row r="1599" spans="1:8" ht="15" customHeight="1" x14ac:dyDescent="0.25">
      <c r="A1599" t="s">
        <v>3254</v>
      </c>
      <c r="B1599" t="s">
        <v>3255</v>
      </c>
      <c r="C1599" s="1">
        <v>46190</v>
      </c>
      <c r="D1599" s="5">
        <f>12.84+150.99</f>
        <v>163.83000000000001</v>
      </c>
      <c r="E1599" t="s">
        <v>558</v>
      </c>
      <c r="F1599" t="s">
        <v>1049</v>
      </c>
      <c r="G1599" t="s">
        <v>222</v>
      </c>
      <c r="H1599" t="s">
        <v>3256</v>
      </c>
    </row>
    <row r="1600" spans="1:8" ht="15" customHeight="1" x14ac:dyDescent="0.25">
      <c r="A1600" t="s">
        <v>3257</v>
      </c>
      <c r="B1600" t="s">
        <v>3258</v>
      </c>
      <c r="C1600" s="1">
        <v>46190</v>
      </c>
      <c r="D1600" s="5">
        <v>69.599999999999994</v>
      </c>
      <c r="E1600" t="s">
        <v>558</v>
      </c>
      <c r="F1600" t="s">
        <v>1049</v>
      </c>
      <c r="G1600" t="s">
        <v>117</v>
      </c>
      <c r="H1600" t="s">
        <v>3259</v>
      </c>
    </row>
    <row r="1601" spans="1:8" ht="15" customHeight="1" x14ac:dyDescent="0.25">
      <c r="A1601" t="s">
        <v>1043</v>
      </c>
      <c r="B1601" t="s">
        <v>1044</v>
      </c>
      <c r="C1601" s="1">
        <v>46190</v>
      </c>
      <c r="D1601" s="5">
        <v>3.68</v>
      </c>
      <c r="E1601" t="s">
        <v>558</v>
      </c>
      <c r="F1601" t="s">
        <v>1049</v>
      </c>
      <c r="G1601" t="s">
        <v>369</v>
      </c>
      <c r="H1601" t="s">
        <v>3260</v>
      </c>
    </row>
    <row r="1602" spans="1:8" ht="15" customHeight="1" x14ac:dyDescent="0.25">
      <c r="A1602" t="s">
        <v>3261</v>
      </c>
      <c r="B1602" t="s">
        <v>2869</v>
      </c>
      <c r="C1602" s="1">
        <v>46190</v>
      </c>
      <c r="D1602" s="5">
        <v>146.66999999999999</v>
      </c>
      <c r="E1602" t="s">
        <v>558</v>
      </c>
      <c r="F1602" t="s">
        <v>1049</v>
      </c>
      <c r="G1602" t="s">
        <v>222</v>
      </c>
      <c r="H1602" t="s">
        <v>3262</v>
      </c>
    </row>
    <row r="1603" spans="1:8" ht="15" customHeight="1" x14ac:dyDescent="0.25">
      <c r="A1603" t="s">
        <v>428</v>
      </c>
      <c r="B1603" t="s">
        <v>429</v>
      </c>
      <c r="C1603" s="1">
        <v>46190</v>
      </c>
      <c r="D1603" s="5">
        <v>3.86</v>
      </c>
      <c r="E1603" t="s">
        <v>558</v>
      </c>
      <c r="F1603" t="s">
        <v>1049</v>
      </c>
      <c r="G1603" t="s">
        <v>183</v>
      </c>
      <c r="H1603" t="s">
        <v>3263</v>
      </c>
    </row>
    <row r="1604" spans="1:8" ht="15" customHeight="1" x14ac:dyDescent="0.25">
      <c r="A1604" t="s">
        <v>3264</v>
      </c>
      <c r="B1604" t="s">
        <v>3265</v>
      </c>
      <c r="C1604" s="1">
        <v>46190</v>
      </c>
      <c r="D1604" s="5">
        <v>38.520000000000003</v>
      </c>
      <c r="E1604" t="s">
        <v>558</v>
      </c>
      <c r="F1604" t="s">
        <v>1049</v>
      </c>
      <c r="G1604" t="s">
        <v>260</v>
      </c>
      <c r="H1604" t="s">
        <v>3266</v>
      </c>
    </row>
    <row r="1605" spans="1:8" ht="15" customHeight="1" x14ac:dyDescent="0.25">
      <c r="A1605" t="s">
        <v>3131</v>
      </c>
      <c r="B1605" t="s">
        <v>3132</v>
      </c>
      <c r="C1605" s="1">
        <v>46190</v>
      </c>
      <c r="D1605" s="5">
        <v>3.68</v>
      </c>
      <c r="E1605" t="s">
        <v>558</v>
      </c>
      <c r="F1605" t="s">
        <v>1049</v>
      </c>
      <c r="G1605" t="s">
        <v>1085</v>
      </c>
      <c r="H1605" t="s">
        <v>3267</v>
      </c>
    </row>
    <row r="1606" spans="1:8" ht="15" customHeight="1" x14ac:dyDescent="0.25">
      <c r="A1606" t="s">
        <v>165</v>
      </c>
      <c r="B1606" t="s">
        <v>166</v>
      </c>
      <c r="C1606" s="1">
        <v>46191</v>
      </c>
      <c r="D1606" s="5">
        <v>26</v>
      </c>
      <c r="E1606" t="s">
        <v>558</v>
      </c>
      <c r="F1606" t="s">
        <v>1049</v>
      </c>
      <c r="G1606" t="s">
        <v>128</v>
      </c>
      <c r="H1606" t="s">
        <v>3268</v>
      </c>
    </row>
    <row r="1607" spans="1:8" ht="15" customHeight="1" x14ac:dyDescent="0.25">
      <c r="A1607" t="s">
        <v>633</v>
      </c>
      <c r="B1607" t="s">
        <v>634</v>
      </c>
      <c r="C1607" s="1">
        <v>46191</v>
      </c>
      <c r="D1607" s="5">
        <v>5.52</v>
      </c>
      <c r="E1607" t="s">
        <v>558</v>
      </c>
      <c r="F1607" t="s">
        <v>1049</v>
      </c>
      <c r="G1607" t="s">
        <v>128</v>
      </c>
      <c r="H1607" t="s">
        <v>3269</v>
      </c>
    </row>
    <row r="1608" spans="1:8" ht="15" customHeight="1" x14ac:dyDescent="0.25">
      <c r="A1608" t="s">
        <v>1812</v>
      </c>
      <c r="B1608" t="s">
        <v>1813</v>
      </c>
      <c r="C1608" s="1">
        <v>46191</v>
      </c>
      <c r="D1608" s="5">
        <v>31.2</v>
      </c>
      <c r="E1608" t="s">
        <v>558</v>
      </c>
      <c r="F1608" t="s">
        <v>1049</v>
      </c>
      <c r="G1608" t="s">
        <v>124</v>
      </c>
      <c r="H1608" t="s">
        <v>3270</v>
      </c>
    </row>
    <row r="1609" spans="1:8" ht="15" customHeight="1" x14ac:dyDescent="0.25">
      <c r="A1609" t="s">
        <v>2329</v>
      </c>
      <c r="B1609" t="s">
        <v>2330</v>
      </c>
      <c r="C1609" s="1">
        <v>46191</v>
      </c>
      <c r="D1609" s="5">
        <v>5.52</v>
      </c>
      <c r="E1609" t="s">
        <v>558</v>
      </c>
      <c r="F1609" t="s">
        <v>1049</v>
      </c>
      <c r="G1609" t="s">
        <v>124</v>
      </c>
      <c r="H1609" t="s">
        <v>3271</v>
      </c>
    </row>
    <row r="1610" spans="1:8" ht="15" customHeight="1" x14ac:dyDescent="0.25">
      <c r="A1610" t="s">
        <v>3240</v>
      </c>
      <c r="B1610" t="s">
        <v>472</v>
      </c>
      <c r="C1610" s="1">
        <v>46191</v>
      </c>
      <c r="D1610" s="5">
        <v>3</v>
      </c>
      <c r="E1610" t="s">
        <v>558</v>
      </c>
      <c r="F1610" t="s">
        <v>1049</v>
      </c>
      <c r="G1610" t="s">
        <v>124</v>
      </c>
      <c r="H1610" t="s">
        <v>3272</v>
      </c>
    </row>
    <row r="1611" spans="1:8" ht="15" customHeight="1" x14ac:dyDescent="0.25">
      <c r="A1611" t="s">
        <v>1833</v>
      </c>
      <c r="B1611" t="s">
        <v>1834</v>
      </c>
      <c r="C1611" s="1">
        <v>46191</v>
      </c>
      <c r="D1611" s="5">
        <v>5.52</v>
      </c>
      <c r="E1611" t="s">
        <v>558</v>
      </c>
      <c r="F1611" t="s">
        <v>1049</v>
      </c>
      <c r="G1611" t="s">
        <v>124</v>
      </c>
      <c r="H1611" t="s">
        <v>3273</v>
      </c>
    </row>
    <row r="1612" spans="1:8" ht="15" customHeight="1" x14ac:dyDescent="0.25">
      <c r="A1612" t="s">
        <v>2241</v>
      </c>
      <c r="B1612" t="s">
        <v>556</v>
      </c>
      <c r="C1612" s="1">
        <v>46191</v>
      </c>
      <c r="D1612" s="5">
        <v>31.2</v>
      </c>
      <c r="E1612" t="s">
        <v>558</v>
      </c>
      <c r="F1612" t="s">
        <v>1049</v>
      </c>
      <c r="G1612" t="s">
        <v>124</v>
      </c>
      <c r="H1612" t="s">
        <v>3274</v>
      </c>
    </row>
    <row r="1613" spans="1:8" ht="15" customHeight="1" x14ac:dyDescent="0.25">
      <c r="A1613" t="s">
        <v>277</v>
      </c>
      <c r="B1613" t="s">
        <v>278</v>
      </c>
      <c r="C1613" s="1">
        <v>46191</v>
      </c>
      <c r="D1613" s="5">
        <v>5.52</v>
      </c>
      <c r="E1613" t="s">
        <v>558</v>
      </c>
      <c r="F1613" t="s">
        <v>1049</v>
      </c>
      <c r="G1613" t="s">
        <v>124</v>
      </c>
      <c r="H1613" t="s">
        <v>3275</v>
      </c>
    </row>
    <row r="1614" spans="1:8" ht="15" customHeight="1" x14ac:dyDescent="0.25">
      <c r="A1614" t="s">
        <v>1892</v>
      </c>
      <c r="B1614" t="s">
        <v>1893</v>
      </c>
      <c r="C1614" s="1">
        <v>46191</v>
      </c>
      <c r="D1614" s="5">
        <v>3.86</v>
      </c>
      <c r="E1614" t="s">
        <v>558</v>
      </c>
      <c r="F1614" t="s">
        <v>1049</v>
      </c>
      <c r="G1614" t="s">
        <v>124</v>
      </c>
      <c r="H1614" t="s">
        <v>3276</v>
      </c>
    </row>
    <row r="1615" spans="1:8" ht="15" customHeight="1" x14ac:dyDescent="0.25">
      <c r="A1615" t="s">
        <v>2931</v>
      </c>
      <c r="B1615" t="s">
        <v>2932</v>
      </c>
      <c r="C1615" s="1">
        <v>46191</v>
      </c>
      <c r="D1615" s="5">
        <v>3.68</v>
      </c>
      <c r="E1615" t="s">
        <v>558</v>
      </c>
      <c r="F1615" t="s">
        <v>1049</v>
      </c>
      <c r="G1615" t="s">
        <v>264</v>
      </c>
      <c r="H1615" t="s">
        <v>3277</v>
      </c>
    </row>
    <row r="1616" spans="1:8" ht="15" customHeight="1" x14ac:dyDescent="0.25">
      <c r="A1616" t="s">
        <v>1958</v>
      </c>
      <c r="B1616" t="s">
        <v>1959</v>
      </c>
      <c r="C1616" s="1">
        <v>46191</v>
      </c>
      <c r="D1616" s="5">
        <v>38.520000000000003</v>
      </c>
      <c r="E1616" t="s">
        <v>558</v>
      </c>
      <c r="F1616" t="s">
        <v>1049</v>
      </c>
      <c r="G1616" t="s">
        <v>128</v>
      </c>
      <c r="H1616" t="s">
        <v>3278</v>
      </c>
    </row>
    <row r="1617" spans="1:8" ht="15" customHeight="1" x14ac:dyDescent="0.25">
      <c r="A1617" t="s">
        <v>2811</v>
      </c>
      <c r="B1617" t="s">
        <v>2812</v>
      </c>
      <c r="C1617" s="1">
        <v>46191</v>
      </c>
      <c r="D1617" s="5">
        <v>5.52</v>
      </c>
      <c r="E1617" t="s">
        <v>558</v>
      </c>
      <c r="F1617" t="s">
        <v>1049</v>
      </c>
      <c r="G1617" t="s">
        <v>135</v>
      </c>
      <c r="H1617" t="s">
        <v>3279</v>
      </c>
    </row>
    <row r="1618" spans="1:8" ht="15" customHeight="1" x14ac:dyDescent="0.25">
      <c r="A1618" t="s">
        <v>146</v>
      </c>
      <c r="B1618" t="s">
        <v>147</v>
      </c>
      <c r="C1618" s="1">
        <v>46191</v>
      </c>
      <c r="D1618" s="5">
        <v>3.86</v>
      </c>
      <c r="E1618" t="s">
        <v>558</v>
      </c>
      <c r="F1618" t="s">
        <v>1049</v>
      </c>
      <c r="G1618" t="s">
        <v>148</v>
      </c>
      <c r="H1618" t="s">
        <v>3280</v>
      </c>
    </row>
    <row r="1619" spans="1:8" ht="15" customHeight="1" x14ac:dyDescent="0.25">
      <c r="A1619" t="s">
        <v>3281</v>
      </c>
      <c r="B1619" t="s">
        <v>3282</v>
      </c>
      <c r="C1619" s="1">
        <v>46191</v>
      </c>
      <c r="D1619" s="5">
        <v>5.52</v>
      </c>
      <c r="E1619" t="s">
        <v>558</v>
      </c>
      <c r="F1619" t="s">
        <v>1049</v>
      </c>
      <c r="G1619" t="s">
        <v>264</v>
      </c>
      <c r="H1619" t="s">
        <v>3283</v>
      </c>
    </row>
    <row r="1620" spans="1:8" ht="15" customHeight="1" x14ac:dyDescent="0.25">
      <c r="A1620" t="s">
        <v>509</v>
      </c>
      <c r="B1620" t="s">
        <v>510</v>
      </c>
      <c r="C1620" s="1">
        <v>46191</v>
      </c>
      <c r="D1620" s="5">
        <v>39.07</v>
      </c>
      <c r="E1620" t="s">
        <v>558</v>
      </c>
      <c r="F1620" t="s">
        <v>1049</v>
      </c>
      <c r="G1620" t="s">
        <v>231</v>
      </c>
      <c r="H1620" t="s">
        <v>3284</v>
      </c>
    </row>
    <row r="1621" spans="1:8" ht="15" customHeight="1" x14ac:dyDescent="0.25">
      <c r="A1621" t="s">
        <v>3285</v>
      </c>
      <c r="B1621" t="s">
        <v>336</v>
      </c>
      <c r="C1621" s="1">
        <v>46191</v>
      </c>
      <c r="D1621" s="5">
        <v>3.68</v>
      </c>
      <c r="E1621" t="s">
        <v>558</v>
      </c>
      <c r="F1621" t="s">
        <v>1049</v>
      </c>
      <c r="G1621" t="s">
        <v>264</v>
      </c>
      <c r="H1621" t="s">
        <v>3286</v>
      </c>
    </row>
    <row r="1622" spans="1:8" ht="15" customHeight="1" x14ac:dyDescent="0.25">
      <c r="A1622" t="s">
        <v>335</v>
      </c>
      <c r="B1622" t="s">
        <v>1890</v>
      </c>
      <c r="C1622" s="1">
        <v>46191</v>
      </c>
      <c r="D1622" s="5">
        <v>3.68</v>
      </c>
      <c r="E1622" t="s">
        <v>558</v>
      </c>
      <c r="F1622" t="s">
        <v>1049</v>
      </c>
      <c r="G1622" t="s">
        <v>264</v>
      </c>
      <c r="H1622" t="s">
        <v>3287</v>
      </c>
    </row>
    <row r="1623" spans="1:8" ht="15" customHeight="1" x14ac:dyDescent="0.25">
      <c r="A1623" t="s">
        <v>613</v>
      </c>
      <c r="B1623" t="s">
        <v>3288</v>
      </c>
      <c r="C1623" s="1">
        <v>46191</v>
      </c>
      <c r="D1623" s="5">
        <v>69.599999999999994</v>
      </c>
      <c r="E1623" t="s">
        <v>558</v>
      </c>
      <c r="F1623" t="s">
        <v>1049</v>
      </c>
      <c r="G1623" t="s">
        <v>117</v>
      </c>
      <c r="H1623" t="s">
        <v>3289</v>
      </c>
    </row>
    <row r="1624" spans="1:8" ht="15" customHeight="1" x14ac:dyDescent="0.25">
      <c r="A1624" t="s">
        <v>3290</v>
      </c>
      <c r="B1624" t="s">
        <v>3291</v>
      </c>
      <c r="C1624" s="1">
        <v>46191</v>
      </c>
      <c r="D1624" s="5">
        <v>3.68</v>
      </c>
      <c r="E1624" t="s">
        <v>558</v>
      </c>
      <c r="F1624" t="s">
        <v>1049</v>
      </c>
      <c r="G1624" t="s">
        <v>264</v>
      </c>
      <c r="H1624" t="s">
        <v>3292</v>
      </c>
    </row>
    <row r="1625" spans="1:8" ht="15" customHeight="1" x14ac:dyDescent="0.25">
      <c r="A1625" t="s">
        <v>70</v>
      </c>
      <c r="B1625" t="s">
        <v>71</v>
      </c>
      <c r="C1625" s="1">
        <v>46191</v>
      </c>
      <c r="D1625" s="5">
        <v>5.52</v>
      </c>
      <c r="E1625" t="s">
        <v>558</v>
      </c>
      <c r="F1625" t="s">
        <v>1049</v>
      </c>
      <c r="G1625" t="s">
        <v>260</v>
      </c>
      <c r="H1625" t="s">
        <v>3293</v>
      </c>
    </row>
    <row r="1626" spans="1:8" ht="15" customHeight="1" x14ac:dyDescent="0.25">
      <c r="A1626" t="s">
        <v>2664</v>
      </c>
      <c r="B1626" t="s">
        <v>2665</v>
      </c>
      <c r="C1626" s="1">
        <v>46192</v>
      </c>
      <c r="D1626" s="5">
        <f>1.84*3</f>
        <v>5.5200000000000005</v>
      </c>
      <c r="E1626" t="s">
        <v>558</v>
      </c>
      <c r="F1626" t="s">
        <v>1049</v>
      </c>
      <c r="G1626" t="s">
        <v>314</v>
      </c>
      <c r="H1626" t="s">
        <v>3294</v>
      </c>
    </row>
    <row r="1627" spans="1:8" ht="15" customHeight="1" x14ac:dyDescent="0.25">
      <c r="A1627" t="s">
        <v>3295</v>
      </c>
      <c r="B1627" t="s">
        <v>3296</v>
      </c>
      <c r="C1627" s="1">
        <v>46192</v>
      </c>
      <c r="D1627" s="5">
        <v>141.79</v>
      </c>
      <c r="E1627" t="s">
        <v>558</v>
      </c>
      <c r="F1627" t="s">
        <v>1049</v>
      </c>
      <c r="G1627" t="s">
        <v>124</v>
      </c>
      <c r="H1627" t="s">
        <v>3297</v>
      </c>
    </row>
    <row r="1628" spans="1:8" ht="15" customHeight="1" x14ac:dyDescent="0.25">
      <c r="A1628" t="s">
        <v>3298</v>
      </c>
      <c r="B1628" t="s">
        <v>3299</v>
      </c>
      <c r="C1628" s="1">
        <v>46192</v>
      </c>
      <c r="D1628" s="5">
        <f>1.84*2+150.99</f>
        <v>154.67000000000002</v>
      </c>
      <c r="E1628" t="s">
        <v>558</v>
      </c>
      <c r="F1628" t="s">
        <v>1049</v>
      </c>
      <c r="G1628" t="s">
        <v>264</v>
      </c>
      <c r="H1628" t="s">
        <v>3300</v>
      </c>
    </row>
    <row r="1629" spans="1:8" ht="15" customHeight="1" x14ac:dyDescent="0.25">
      <c r="A1629" t="s">
        <v>3301</v>
      </c>
      <c r="B1629" t="s">
        <v>3302</v>
      </c>
      <c r="C1629" s="1">
        <v>46192</v>
      </c>
      <c r="D1629" s="5">
        <v>3</v>
      </c>
      <c r="E1629" t="s">
        <v>558</v>
      </c>
      <c r="F1629" t="s">
        <v>1049</v>
      </c>
      <c r="G1629" t="s">
        <v>625</v>
      </c>
      <c r="H1629" t="s">
        <v>3303</v>
      </c>
    </row>
    <row r="1630" spans="1:8" ht="15" customHeight="1" x14ac:dyDescent="0.25">
      <c r="A1630" t="s">
        <v>2392</v>
      </c>
      <c r="B1630" t="s">
        <v>2393</v>
      </c>
      <c r="C1630" s="1">
        <v>46192</v>
      </c>
      <c r="D1630" s="5">
        <v>5.52</v>
      </c>
      <c r="E1630" t="s">
        <v>558</v>
      </c>
      <c r="F1630" t="s">
        <v>1049</v>
      </c>
      <c r="G1630" t="s">
        <v>124</v>
      </c>
      <c r="H1630" t="s">
        <v>3304</v>
      </c>
    </row>
    <row r="1631" spans="1:8" ht="15" customHeight="1" x14ac:dyDescent="0.25">
      <c r="A1631" t="s">
        <v>3305</v>
      </c>
      <c r="B1631" t="s">
        <v>1868</v>
      </c>
      <c r="C1631" s="1">
        <v>46192</v>
      </c>
      <c r="D1631" s="5">
        <v>38.520000000000003</v>
      </c>
      <c r="E1631" t="s">
        <v>558</v>
      </c>
      <c r="F1631" t="s">
        <v>1049</v>
      </c>
      <c r="G1631" t="s">
        <v>128</v>
      </c>
      <c r="H1631" t="s">
        <v>3306</v>
      </c>
    </row>
    <row r="1632" spans="1:8" ht="15" customHeight="1" x14ac:dyDescent="0.25">
      <c r="A1632" t="s">
        <v>415</v>
      </c>
      <c r="B1632" t="s">
        <v>416</v>
      </c>
      <c r="C1632" s="1">
        <v>46192</v>
      </c>
      <c r="D1632" s="5">
        <f>1.84*2</f>
        <v>3.68</v>
      </c>
      <c r="E1632" t="s">
        <v>558</v>
      </c>
      <c r="F1632" t="s">
        <v>1049</v>
      </c>
      <c r="G1632" t="s">
        <v>1026</v>
      </c>
      <c r="H1632" t="s">
        <v>3307</v>
      </c>
    </row>
    <row r="1633" spans="1:8" ht="15" customHeight="1" x14ac:dyDescent="0.25">
      <c r="A1633" t="s">
        <v>792</v>
      </c>
      <c r="B1633" t="s">
        <v>793</v>
      </c>
      <c r="C1633" s="1">
        <v>46192</v>
      </c>
      <c r="D1633" s="5">
        <f>15.77+1.84</f>
        <v>17.61</v>
      </c>
      <c r="E1633" t="s">
        <v>558</v>
      </c>
      <c r="F1633" t="s">
        <v>1049</v>
      </c>
      <c r="G1633" t="s">
        <v>1026</v>
      </c>
      <c r="H1633" t="s">
        <v>3308</v>
      </c>
    </row>
    <row r="1634" spans="1:8" ht="15" customHeight="1" x14ac:dyDescent="0.25">
      <c r="A1634" t="s">
        <v>3309</v>
      </c>
      <c r="B1634" t="s">
        <v>3310</v>
      </c>
      <c r="C1634" s="1">
        <v>46192</v>
      </c>
      <c r="D1634" s="5">
        <v>146.66999999999999</v>
      </c>
      <c r="E1634" t="s">
        <v>558</v>
      </c>
      <c r="F1634" t="s">
        <v>1049</v>
      </c>
      <c r="G1634" t="s">
        <v>264</v>
      </c>
      <c r="H1634" t="s">
        <v>3311</v>
      </c>
    </row>
    <row r="1635" spans="1:8" ht="15" customHeight="1" x14ac:dyDescent="0.25">
      <c r="A1635" t="s">
        <v>3232</v>
      </c>
      <c r="B1635" t="s">
        <v>3233</v>
      </c>
      <c r="C1635" s="1">
        <v>46192</v>
      </c>
      <c r="D1635" s="5">
        <f>1.84*2</f>
        <v>3.68</v>
      </c>
      <c r="E1635" t="s">
        <v>558</v>
      </c>
      <c r="F1635" t="s">
        <v>1049</v>
      </c>
      <c r="G1635" t="s">
        <v>264</v>
      </c>
      <c r="H1635" t="s">
        <v>3312</v>
      </c>
    </row>
    <row r="1636" spans="1:8" ht="15" customHeight="1" x14ac:dyDescent="0.25">
      <c r="A1636" t="s">
        <v>3257</v>
      </c>
      <c r="B1636" t="s">
        <v>3313</v>
      </c>
      <c r="C1636" s="1">
        <v>46192</v>
      </c>
      <c r="D1636" s="5">
        <v>3</v>
      </c>
      <c r="E1636" t="s">
        <v>558</v>
      </c>
      <c r="F1636" t="s">
        <v>1049</v>
      </c>
      <c r="G1636" t="s">
        <v>117</v>
      </c>
      <c r="H1636" t="s">
        <v>3314</v>
      </c>
    </row>
    <row r="1637" spans="1:8" ht="15" customHeight="1" x14ac:dyDescent="0.25">
      <c r="A1637" t="s">
        <v>3315</v>
      </c>
      <c r="B1637" t="s">
        <v>2054</v>
      </c>
      <c r="C1637" s="1">
        <v>46192</v>
      </c>
      <c r="D1637" s="5">
        <v>3.68</v>
      </c>
      <c r="E1637" t="s">
        <v>558</v>
      </c>
      <c r="F1637" t="s">
        <v>1049</v>
      </c>
      <c r="G1637" t="s">
        <v>264</v>
      </c>
      <c r="H1637" t="s">
        <v>3316</v>
      </c>
    </row>
    <row r="1638" spans="1:8" ht="15" customHeight="1" x14ac:dyDescent="0.25">
      <c r="A1638" t="s">
        <v>284</v>
      </c>
      <c r="B1638" t="s">
        <v>285</v>
      </c>
      <c r="C1638" s="1">
        <v>46192</v>
      </c>
      <c r="D1638" s="5">
        <v>3</v>
      </c>
      <c r="E1638" t="s">
        <v>558</v>
      </c>
      <c r="F1638" t="s">
        <v>1049</v>
      </c>
      <c r="G1638" t="s">
        <v>117</v>
      </c>
      <c r="H1638" t="s">
        <v>3317</v>
      </c>
    </row>
    <row r="1639" spans="1:8" ht="15" customHeight="1" x14ac:dyDescent="0.25">
      <c r="A1639" t="s">
        <v>3318</v>
      </c>
      <c r="B1639" t="s">
        <v>3319</v>
      </c>
      <c r="C1639" s="1">
        <v>46192</v>
      </c>
      <c r="D1639" s="5">
        <v>28.61</v>
      </c>
      <c r="E1639" t="s">
        <v>558</v>
      </c>
      <c r="F1639" t="s">
        <v>1049</v>
      </c>
      <c r="G1639" t="s">
        <v>264</v>
      </c>
      <c r="H1639" t="s">
        <v>3320</v>
      </c>
    </row>
    <row r="1640" spans="1:8" ht="15" customHeight="1" x14ac:dyDescent="0.25">
      <c r="A1640" t="s">
        <v>2222</v>
      </c>
      <c r="B1640" t="s">
        <v>2223</v>
      </c>
      <c r="C1640" s="1">
        <v>46192</v>
      </c>
      <c r="D1640" s="5">
        <v>150.6</v>
      </c>
      <c r="E1640" t="s">
        <v>558</v>
      </c>
      <c r="F1640" t="s">
        <v>1049</v>
      </c>
      <c r="G1640" t="s">
        <v>148</v>
      </c>
      <c r="H1640" t="s">
        <v>3321</v>
      </c>
    </row>
    <row r="1641" spans="1:8" ht="15" customHeight="1" x14ac:dyDescent="0.25">
      <c r="A1641" t="s">
        <v>3322</v>
      </c>
      <c r="B1641" t="s">
        <v>3323</v>
      </c>
      <c r="C1641" s="1">
        <v>46192</v>
      </c>
      <c r="D1641" s="5">
        <v>25.68</v>
      </c>
      <c r="E1641" t="s">
        <v>558</v>
      </c>
      <c r="F1641" t="s">
        <v>1049</v>
      </c>
      <c r="G1641" t="s">
        <v>264</v>
      </c>
      <c r="H1641" t="s">
        <v>3324</v>
      </c>
    </row>
    <row r="1642" spans="1:8" ht="15" customHeight="1" x14ac:dyDescent="0.25">
      <c r="A1642" t="s">
        <v>3325</v>
      </c>
      <c r="B1642" t="s">
        <v>3326</v>
      </c>
      <c r="C1642" s="1">
        <v>46192</v>
      </c>
      <c r="D1642" s="5">
        <v>31.2</v>
      </c>
      <c r="E1642" t="s">
        <v>558</v>
      </c>
      <c r="F1642" t="s">
        <v>1049</v>
      </c>
      <c r="G1642" t="s">
        <v>292</v>
      </c>
      <c r="H1642" t="s">
        <v>3327</v>
      </c>
    </row>
    <row r="1643" spans="1:8" ht="15" customHeight="1" x14ac:dyDescent="0.25">
      <c r="A1643" t="s">
        <v>3328</v>
      </c>
      <c r="B1643" t="s">
        <v>3329</v>
      </c>
      <c r="C1643" s="1">
        <v>46192</v>
      </c>
      <c r="D1643" s="5">
        <v>152.53</v>
      </c>
      <c r="E1643" t="s">
        <v>558</v>
      </c>
      <c r="F1643" t="s">
        <v>1049</v>
      </c>
      <c r="G1643" t="s">
        <v>148</v>
      </c>
      <c r="H1643" t="s">
        <v>3330</v>
      </c>
    </row>
    <row r="1644" spans="1:8" ht="15" customHeight="1" x14ac:dyDescent="0.25">
      <c r="A1644" t="s">
        <v>3328</v>
      </c>
      <c r="B1644" t="s">
        <v>3329</v>
      </c>
      <c r="C1644" s="1">
        <v>46192</v>
      </c>
      <c r="D1644" s="5">
        <v>3.86</v>
      </c>
      <c r="E1644" t="s">
        <v>558</v>
      </c>
      <c r="F1644" t="s">
        <v>1049</v>
      </c>
      <c r="G1644" t="s">
        <v>148</v>
      </c>
      <c r="H1644" t="s">
        <v>3331</v>
      </c>
    </row>
    <row r="1645" spans="1:8" ht="15" customHeight="1" x14ac:dyDescent="0.25">
      <c r="A1645" t="s">
        <v>3332</v>
      </c>
      <c r="B1645" t="s">
        <v>1423</v>
      </c>
      <c r="C1645" s="1">
        <v>46192</v>
      </c>
      <c r="D1645" s="5">
        <v>31.2</v>
      </c>
      <c r="E1645" t="s">
        <v>558</v>
      </c>
      <c r="F1645" t="s">
        <v>1049</v>
      </c>
      <c r="G1645" t="s">
        <v>292</v>
      </c>
      <c r="H1645" t="s">
        <v>3333</v>
      </c>
    </row>
    <row r="1646" spans="1:8" ht="15" customHeight="1" x14ac:dyDescent="0.25">
      <c r="A1646" t="s">
        <v>2999</v>
      </c>
      <c r="B1646" t="s">
        <v>3334</v>
      </c>
      <c r="C1646" s="1">
        <v>46193</v>
      </c>
      <c r="D1646" s="5">
        <v>69.599999999999994</v>
      </c>
      <c r="E1646" t="s">
        <v>558</v>
      </c>
      <c r="F1646" t="s">
        <v>1049</v>
      </c>
      <c r="G1646" t="s">
        <v>117</v>
      </c>
      <c r="H1646" t="s">
        <v>3335</v>
      </c>
    </row>
    <row r="1647" spans="1:8" ht="15" customHeight="1" x14ac:dyDescent="0.25">
      <c r="A1647" t="s">
        <v>2038</v>
      </c>
      <c r="B1647" t="s">
        <v>2039</v>
      </c>
      <c r="C1647" s="1">
        <v>46193</v>
      </c>
      <c r="D1647" s="5">
        <v>3</v>
      </c>
      <c r="E1647" t="s">
        <v>558</v>
      </c>
      <c r="F1647" t="s">
        <v>1049</v>
      </c>
      <c r="G1647" t="s">
        <v>117</v>
      </c>
      <c r="H1647" t="s">
        <v>3336</v>
      </c>
    </row>
    <row r="1648" spans="1:8" ht="15" customHeight="1" x14ac:dyDescent="0.25">
      <c r="A1648" t="s">
        <v>2616</v>
      </c>
      <c r="B1648" t="s">
        <v>2617</v>
      </c>
      <c r="C1648" s="1">
        <v>46193</v>
      </c>
      <c r="D1648" s="5">
        <v>5.52</v>
      </c>
      <c r="E1648" t="s">
        <v>558</v>
      </c>
      <c r="F1648" t="s">
        <v>1049</v>
      </c>
      <c r="G1648" t="s">
        <v>2753</v>
      </c>
      <c r="H1648" t="s">
        <v>3337</v>
      </c>
    </row>
    <row r="1649" spans="1:8" ht="15" customHeight="1" x14ac:dyDescent="0.25">
      <c r="A1649" t="s">
        <v>3131</v>
      </c>
      <c r="B1649" t="s">
        <v>3132</v>
      </c>
      <c r="C1649" s="1">
        <v>46193</v>
      </c>
      <c r="D1649" s="5">
        <v>3.68</v>
      </c>
      <c r="E1649" t="s">
        <v>558</v>
      </c>
      <c r="F1649" t="s">
        <v>1049</v>
      </c>
      <c r="G1649" t="s">
        <v>986</v>
      </c>
      <c r="H1649" t="s">
        <v>3338</v>
      </c>
    </row>
    <row r="1650" spans="1:8" ht="15" customHeight="1" x14ac:dyDescent="0.25">
      <c r="A1650" t="s">
        <v>3240</v>
      </c>
      <c r="B1650" t="s">
        <v>472</v>
      </c>
      <c r="C1650" s="1">
        <v>46193</v>
      </c>
      <c r="D1650" s="5">
        <v>3</v>
      </c>
      <c r="E1650" t="s">
        <v>558</v>
      </c>
      <c r="F1650" t="s">
        <v>1049</v>
      </c>
      <c r="G1650" t="s">
        <v>314</v>
      </c>
      <c r="H1650" t="s">
        <v>3339</v>
      </c>
    </row>
    <row r="1651" spans="1:8" ht="15" customHeight="1" x14ac:dyDescent="0.25">
      <c r="A1651" t="s">
        <v>3169</v>
      </c>
      <c r="B1651" t="s">
        <v>2932</v>
      </c>
      <c r="C1651" s="1">
        <v>46193</v>
      </c>
      <c r="D1651" s="5">
        <v>3.86</v>
      </c>
      <c r="E1651" t="s">
        <v>558</v>
      </c>
      <c r="F1651" t="s">
        <v>1049</v>
      </c>
      <c r="G1651" t="s">
        <v>264</v>
      </c>
      <c r="H1651" t="s">
        <v>3340</v>
      </c>
    </row>
    <row r="1652" spans="1:8" ht="15" customHeight="1" x14ac:dyDescent="0.25">
      <c r="A1652" t="s">
        <v>2310</v>
      </c>
      <c r="B1652" t="s">
        <v>2311</v>
      </c>
      <c r="C1652" s="1">
        <v>46193</v>
      </c>
      <c r="D1652" s="5">
        <v>3.86</v>
      </c>
      <c r="E1652" t="s">
        <v>558</v>
      </c>
      <c r="F1652" t="s">
        <v>1049</v>
      </c>
      <c r="G1652" t="s">
        <v>264</v>
      </c>
      <c r="H1652" t="s">
        <v>3341</v>
      </c>
    </row>
    <row r="1653" spans="1:8" ht="15" customHeight="1" x14ac:dyDescent="0.25">
      <c r="A1653" t="s">
        <v>1536</v>
      </c>
      <c r="B1653" t="s">
        <v>1537</v>
      </c>
      <c r="C1653" s="1">
        <v>46194</v>
      </c>
      <c r="D1653" s="5">
        <v>3.86</v>
      </c>
      <c r="E1653" t="s">
        <v>558</v>
      </c>
      <c r="F1653" t="s">
        <v>1049</v>
      </c>
      <c r="G1653" t="s">
        <v>183</v>
      </c>
      <c r="H1653" t="s">
        <v>3342</v>
      </c>
    </row>
    <row r="1654" spans="1:8" ht="15" customHeight="1" x14ac:dyDescent="0.25">
      <c r="A1654" t="s">
        <v>82</v>
      </c>
      <c r="B1654" t="s">
        <v>83</v>
      </c>
      <c r="C1654" s="1">
        <v>46195</v>
      </c>
      <c r="D1654" s="5">
        <v>3.86</v>
      </c>
      <c r="E1654" t="s">
        <v>558</v>
      </c>
      <c r="F1654" t="s">
        <v>1049</v>
      </c>
      <c r="G1654" t="s">
        <v>1689</v>
      </c>
      <c r="H1654" t="s">
        <v>3343</v>
      </c>
    </row>
    <row r="1655" spans="1:8" ht="15" customHeight="1" x14ac:dyDescent="0.25">
      <c r="A1655" t="s">
        <v>1267</v>
      </c>
      <c r="B1655" t="s">
        <v>404</v>
      </c>
      <c r="C1655" s="1">
        <v>46195</v>
      </c>
      <c r="D1655" s="5">
        <v>3</v>
      </c>
      <c r="E1655" t="s">
        <v>558</v>
      </c>
      <c r="F1655" t="s">
        <v>1049</v>
      </c>
      <c r="G1655" t="s">
        <v>117</v>
      </c>
      <c r="H1655" t="s">
        <v>3344</v>
      </c>
    </row>
    <row r="1656" spans="1:8" ht="15" customHeight="1" x14ac:dyDescent="0.25">
      <c r="A1656" t="s">
        <v>3345</v>
      </c>
      <c r="B1656" t="s">
        <v>3346</v>
      </c>
      <c r="C1656" s="1">
        <v>46195</v>
      </c>
      <c r="D1656" s="5">
        <f>12.84*2+150.99</f>
        <v>176.67000000000002</v>
      </c>
      <c r="E1656" t="s">
        <v>558</v>
      </c>
      <c r="F1656" t="s">
        <v>1049</v>
      </c>
      <c r="G1656" t="s">
        <v>2307</v>
      </c>
      <c r="H1656" t="s">
        <v>3347</v>
      </c>
    </row>
    <row r="1657" spans="1:8" ht="15" customHeight="1" x14ac:dyDescent="0.25">
      <c r="A1657" t="s">
        <v>3348</v>
      </c>
      <c r="B1657" t="s">
        <v>3349</v>
      </c>
      <c r="C1657" s="1">
        <v>46195</v>
      </c>
      <c r="D1657" s="5">
        <f>17.4*3</f>
        <v>52.199999999999996</v>
      </c>
      <c r="E1657" t="s">
        <v>558</v>
      </c>
      <c r="F1657" t="s">
        <v>1049</v>
      </c>
      <c r="G1657" t="s">
        <v>1026</v>
      </c>
      <c r="H1657" t="s">
        <v>3350</v>
      </c>
    </row>
    <row r="1658" spans="1:8" ht="15" customHeight="1" x14ac:dyDescent="0.25">
      <c r="A1658" t="s">
        <v>435</v>
      </c>
      <c r="B1658" t="s">
        <v>436</v>
      </c>
      <c r="C1658" s="1">
        <v>46195</v>
      </c>
      <c r="D1658" s="5">
        <v>3</v>
      </c>
      <c r="E1658" t="s">
        <v>558</v>
      </c>
      <c r="F1658" t="s">
        <v>1049</v>
      </c>
      <c r="G1658" t="s">
        <v>117</v>
      </c>
      <c r="H1658" t="s">
        <v>3351</v>
      </c>
    </row>
    <row r="1659" spans="1:8" ht="15" customHeight="1" x14ac:dyDescent="0.25">
      <c r="A1659" t="s">
        <v>3352</v>
      </c>
      <c r="B1659" t="s">
        <v>62</v>
      </c>
      <c r="C1659" s="1">
        <v>46195</v>
      </c>
      <c r="D1659" s="5">
        <v>114.03</v>
      </c>
      <c r="E1659" t="s">
        <v>558</v>
      </c>
      <c r="F1659" t="s">
        <v>1049</v>
      </c>
      <c r="G1659" t="s">
        <v>1689</v>
      </c>
      <c r="H1659" t="s">
        <v>3353</v>
      </c>
    </row>
    <row r="1660" spans="1:8" ht="15" customHeight="1" x14ac:dyDescent="0.25">
      <c r="A1660" t="s">
        <v>3354</v>
      </c>
      <c r="B1660" t="s">
        <v>3355</v>
      </c>
      <c r="C1660" s="1">
        <v>46195</v>
      </c>
      <c r="D1660" s="5">
        <v>52.2</v>
      </c>
      <c r="E1660" t="s">
        <v>558</v>
      </c>
      <c r="F1660" t="s">
        <v>1049</v>
      </c>
      <c r="G1660" t="s">
        <v>117</v>
      </c>
      <c r="H1660" t="s">
        <v>3356</v>
      </c>
    </row>
    <row r="1661" spans="1:8" ht="15" customHeight="1" x14ac:dyDescent="0.25">
      <c r="A1661" t="s">
        <v>3357</v>
      </c>
      <c r="B1661" t="s">
        <v>1829</v>
      </c>
      <c r="C1661" s="1">
        <v>46195</v>
      </c>
      <c r="D1661" s="5">
        <v>17.399999999999999</v>
      </c>
      <c r="E1661" t="s">
        <v>558</v>
      </c>
      <c r="F1661" t="s">
        <v>1049</v>
      </c>
      <c r="G1661" t="s">
        <v>117</v>
      </c>
      <c r="H1661" t="s">
        <v>3358</v>
      </c>
    </row>
    <row r="1662" spans="1:8" ht="15" customHeight="1" x14ac:dyDescent="0.25">
      <c r="A1662" t="s">
        <v>1984</v>
      </c>
      <c r="B1662" t="s">
        <v>1985</v>
      </c>
      <c r="C1662" s="1">
        <v>46195</v>
      </c>
      <c r="D1662" s="5">
        <v>64.38</v>
      </c>
      <c r="E1662" t="s">
        <v>558</v>
      </c>
      <c r="F1662" t="s">
        <v>1049</v>
      </c>
      <c r="G1662" t="s">
        <v>260</v>
      </c>
      <c r="H1662" t="s">
        <v>3359</v>
      </c>
    </row>
    <row r="1663" spans="1:8" ht="15" customHeight="1" x14ac:dyDescent="0.25">
      <c r="A1663" t="s">
        <v>3360</v>
      </c>
      <c r="B1663" t="s">
        <v>3361</v>
      </c>
      <c r="C1663" s="1">
        <v>46195</v>
      </c>
      <c r="D1663" s="5">
        <v>52.2</v>
      </c>
      <c r="E1663" t="s">
        <v>558</v>
      </c>
      <c r="F1663" t="s">
        <v>1049</v>
      </c>
      <c r="G1663" t="s">
        <v>3362</v>
      </c>
      <c r="H1663" t="s">
        <v>3363</v>
      </c>
    </row>
    <row r="1664" spans="1:8" ht="15" customHeight="1" x14ac:dyDescent="0.25">
      <c r="A1664" t="s">
        <v>171</v>
      </c>
      <c r="B1664" t="s">
        <v>172</v>
      </c>
      <c r="C1664" s="1">
        <v>46195</v>
      </c>
      <c r="D1664" s="5">
        <v>3.86</v>
      </c>
      <c r="E1664" t="s">
        <v>558</v>
      </c>
      <c r="F1664" t="s">
        <v>1049</v>
      </c>
      <c r="G1664" t="s">
        <v>148</v>
      </c>
      <c r="H1664" t="s">
        <v>3364</v>
      </c>
    </row>
    <row r="1665" spans="1:8" ht="15" customHeight="1" x14ac:dyDescent="0.25">
      <c r="A1665" t="s">
        <v>3365</v>
      </c>
      <c r="B1665" t="s">
        <v>3366</v>
      </c>
      <c r="C1665" s="1">
        <v>46195</v>
      </c>
      <c r="D1665" s="5">
        <v>133.83000000000001</v>
      </c>
      <c r="E1665" t="s">
        <v>558</v>
      </c>
      <c r="F1665" t="s">
        <v>1049</v>
      </c>
      <c r="G1665" t="s">
        <v>264</v>
      </c>
      <c r="H1665" t="s">
        <v>3367</v>
      </c>
    </row>
    <row r="1666" spans="1:8" ht="15" customHeight="1" x14ac:dyDescent="0.25">
      <c r="A1666" t="s">
        <v>3368</v>
      </c>
      <c r="B1666" t="s">
        <v>3302</v>
      </c>
      <c r="C1666" s="1">
        <v>46195</v>
      </c>
      <c r="D1666" s="5">
        <v>3</v>
      </c>
      <c r="E1666" t="s">
        <v>558</v>
      </c>
      <c r="F1666" t="s">
        <v>1049</v>
      </c>
      <c r="G1666" t="s">
        <v>625</v>
      </c>
      <c r="H1666" t="s">
        <v>3369</v>
      </c>
    </row>
    <row r="1667" spans="1:8" ht="15" customHeight="1" x14ac:dyDescent="0.25">
      <c r="A1667" t="s">
        <v>3370</v>
      </c>
      <c r="B1667" t="s">
        <v>3371</v>
      </c>
      <c r="C1667" s="1">
        <v>46195</v>
      </c>
      <c r="D1667" s="5">
        <f>12.84*3</f>
        <v>38.519999999999996</v>
      </c>
      <c r="E1667" t="s">
        <v>558</v>
      </c>
      <c r="F1667" t="s">
        <v>1049</v>
      </c>
      <c r="G1667" t="s">
        <v>309</v>
      </c>
      <c r="H1667" t="s">
        <v>3372</v>
      </c>
    </row>
    <row r="1668" spans="1:8" ht="15" customHeight="1" x14ac:dyDescent="0.25">
      <c r="A1668" t="s">
        <v>1984</v>
      </c>
      <c r="B1668" t="s">
        <v>1985</v>
      </c>
      <c r="C1668" s="1">
        <v>46195</v>
      </c>
      <c r="D1668" s="5">
        <f>1.84*3</f>
        <v>5.5200000000000005</v>
      </c>
      <c r="E1668" t="s">
        <v>558</v>
      </c>
      <c r="F1668" t="s">
        <v>1049</v>
      </c>
      <c r="G1668" t="s">
        <v>260</v>
      </c>
      <c r="H1668" t="s">
        <v>3373</v>
      </c>
    </row>
    <row r="1669" spans="1:8" ht="15" customHeight="1" x14ac:dyDescent="0.25">
      <c r="A1669" t="s">
        <v>1878</v>
      </c>
      <c r="B1669" t="s">
        <v>1879</v>
      </c>
      <c r="C1669" s="1">
        <v>46195</v>
      </c>
      <c r="D1669" s="5">
        <f>1.84*3</f>
        <v>5.5200000000000005</v>
      </c>
      <c r="E1669" t="s">
        <v>558</v>
      </c>
      <c r="F1669" t="s">
        <v>1049</v>
      </c>
      <c r="G1669" t="s">
        <v>222</v>
      </c>
      <c r="H1669" t="s">
        <v>3374</v>
      </c>
    </row>
    <row r="1670" spans="1:8" ht="15" customHeight="1" x14ac:dyDescent="0.25">
      <c r="A1670" t="s">
        <v>367</v>
      </c>
      <c r="B1670" t="s">
        <v>368</v>
      </c>
      <c r="C1670" s="1">
        <v>46196</v>
      </c>
      <c r="D1670" s="5">
        <v>25.68</v>
      </c>
      <c r="E1670" t="s">
        <v>558</v>
      </c>
      <c r="F1670" t="s">
        <v>1049</v>
      </c>
      <c r="G1670" t="s">
        <v>369</v>
      </c>
      <c r="H1670" t="s">
        <v>3375</v>
      </c>
    </row>
    <row r="1671" spans="1:8" ht="15" customHeight="1" x14ac:dyDescent="0.25">
      <c r="A1671" t="s">
        <v>3376</v>
      </c>
      <c r="B1671" t="s">
        <v>3377</v>
      </c>
      <c r="C1671" s="1">
        <v>46196</v>
      </c>
      <c r="D1671" s="5">
        <v>146.66999999999999</v>
      </c>
      <c r="E1671" t="s">
        <v>558</v>
      </c>
      <c r="F1671" t="s">
        <v>1049</v>
      </c>
      <c r="G1671" t="s">
        <v>128</v>
      </c>
      <c r="H1671" t="s">
        <v>3378</v>
      </c>
    </row>
    <row r="1672" spans="1:8" ht="15" customHeight="1" x14ac:dyDescent="0.25">
      <c r="A1672" t="s">
        <v>3379</v>
      </c>
      <c r="B1672" t="s">
        <v>3380</v>
      </c>
      <c r="C1672" s="1">
        <v>46196</v>
      </c>
      <c r="D1672" s="5">
        <v>15.77</v>
      </c>
      <c r="E1672" t="s">
        <v>558</v>
      </c>
      <c r="F1672" t="s">
        <v>1049</v>
      </c>
      <c r="G1672" t="s">
        <v>2639</v>
      </c>
      <c r="H1672" t="s">
        <v>3381</v>
      </c>
    </row>
    <row r="1673" spans="1:8" ht="15" customHeight="1" x14ac:dyDescent="0.25">
      <c r="A1673" t="s">
        <v>3382</v>
      </c>
      <c r="B1673" t="s">
        <v>3383</v>
      </c>
      <c r="C1673" s="1">
        <v>46196</v>
      </c>
      <c r="D1673" s="5">
        <v>23.3</v>
      </c>
      <c r="E1673" t="s">
        <v>558</v>
      </c>
      <c r="F1673" t="s">
        <v>1049</v>
      </c>
      <c r="G1673" t="s">
        <v>264</v>
      </c>
      <c r="H1673" t="s">
        <v>3384</v>
      </c>
    </row>
    <row r="1674" spans="1:8" ht="15" customHeight="1" x14ac:dyDescent="0.25">
      <c r="A1674" t="s">
        <v>3019</v>
      </c>
      <c r="B1674" t="s">
        <v>3020</v>
      </c>
      <c r="C1674" s="1">
        <v>46196</v>
      </c>
      <c r="D1674" s="5">
        <f>1.84*2</f>
        <v>3.68</v>
      </c>
      <c r="E1674" t="s">
        <v>558</v>
      </c>
      <c r="F1674" t="s">
        <v>1049</v>
      </c>
      <c r="G1674" t="s">
        <v>369</v>
      </c>
      <c r="H1674" t="s">
        <v>3385</v>
      </c>
    </row>
    <row r="1675" spans="1:8" ht="15" customHeight="1" x14ac:dyDescent="0.25">
      <c r="A1675" t="s">
        <v>3386</v>
      </c>
      <c r="B1675" t="s">
        <v>3387</v>
      </c>
      <c r="C1675" s="1">
        <v>46196</v>
      </c>
      <c r="D1675" s="5">
        <v>31.2</v>
      </c>
      <c r="E1675" t="s">
        <v>558</v>
      </c>
      <c r="F1675" t="s">
        <v>1049</v>
      </c>
      <c r="G1675" t="s">
        <v>1085</v>
      </c>
      <c r="H1675" t="s">
        <v>3388</v>
      </c>
    </row>
    <row r="1676" spans="1:8" ht="15" customHeight="1" x14ac:dyDescent="0.25">
      <c r="A1676" t="s">
        <v>3360</v>
      </c>
      <c r="B1676" t="s">
        <v>3361</v>
      </c>
      <c r="C1676" s="1">
        <v>46196</v>
      </c>
      <c r="D1676" s="5">
        <v>3</v>
      </c>
      <c r="E1676" t="s">
        <v>558</v>
      </c>
      <c r="F1676" t="s">
        <v>1049</v>
      </c>
      <c r="G1676" t="s">
        <v>3362</v>
      </c>
      <c r="H1676" t="s">
        <v>3389</v>
      </c>
    </row>
    <row r="1677" spans="1:8" ht="15" customHeight="1" x14ac:dyDescent="0.25">
      <c r="A1677" t="s">
        <v>2235</v>
      </c>
      <c r="B1677" t="s">
        <v>2236</v>
      </c>
      <c r="C1677" s="1">
        <v>46196</v>
      </c>
      <c r="D1677" s="5">
        <v>25.68</v>
      </c>
      <c r="E1677" t="s">
        <v>558</v>
      </c>
      <c r="F1677" t="s">
        <v>1049</v>
      </c>
      <c r="G1677" t="s">
        <v>260</v>
      </c>
      <c r="H1677" t="s">
        <v>3390</v>
      </c>
    </row>
    <row r="1678" spans="1:8" ht="15" customHeight="1" x14ac:dyDescent="0.25">
      <c r="A1678" t="s">
        <v>3391</v>
      </c>
      <c r="B1678" t="s">
        <v>3392</v>
      </c>
      <c r="C1678" s="1">
        <v>46196</v>
      </c>
      <c r="D1678" s="5">
        <v>38.520000000000003</v>
      </c>
      <c r="E1678" t="s">
        <v>558</v>
      </c>
      <c r="F1678" t="s">
        <v>1049</v>
      </c>
      <c r="G1678" t="s">
        <v>260</v>
      </c>
      <c r="H1678" t="s">
        <v>3393</v>
      </c>
    </row>
    <row r="1679" spans="1:8" ht="15" customHeight="1" x14ac:dyDescent="0.25">
      <c r="A1679" t="s">
        <v>3131</v>
      </c>
      <c r="B1679" t="s">
        <v>3132</v>
      </c>
      <c r="C1679" s="1">
        <v>46197</v>
      </c>
      <c r="D1679" s="5">
        <v>3.68</v>
      </c>
      <c r="E1679" t="s">
        <v>558</v>
      </c>
      <c r="F1679" t="s">
        <v>1049</v>
      </c>
      <c r="G1679" t="s">
        <v>2150</v>
      </c>
      <c r="H1679" t="s">
        <v>3394</v>
      </c>
    </row>
    <row r="1680" spans="1:8" ht="15" customHeight="1" x14ac:dyDescent="0.25">
      <c r="A1680" t="s">
        <v>3360</v>
      </c>
      <c r="B1680" t="s">
        <v>3361</v>
      </c>
      <c r="C1680" s="1">
        <v>46197</v>
      </c>
      <c r="D1680" s="5">
        <v>5.52</v>
      </c>
      <c r="E1680" t="s">
        <v>558</v>
      </c>
      <c r="F1680" t="s">
        <v>1049</v>
      </c>
      <c r="G1680" t="s">
        <v>124</v>
      </c>
      <c r="H1680" t="s">
        <v>3395</v>
      </c>
    </row>
    <row r="1681" spans="1:8" ht="15" customHeight="1" x14ac:dyDescent="0.25">
      <c r="A1681" t="s">
        <v>1833</v>
      </c>
      <c r="B1681" t="s">
        <v>1834</v>
      </c>
      <c r="C1681" s="1">
        <v>46197</v>
      </c>
      <c r="D1681" s="5">
        <v>5.52</v>
      </c>
      <c r="E1681" t="s">
        <v>558</v>
      </c>
      <c r="F1681" t="s">
        <v>1049</v>
      </c>
      <c r="G1681" t="s">
        <v>124</v>
      </c>
      <c r="H1681" t="s">
        <v>3396</v>
      </c>
    </row>
    <row r="1682" spans="1:8" ht="15" customHeight="1" x14ac:dyDescent="0.25">
      <c r="A1682" t="s">
        <v>2310</v>
      </c>
      <c r="B1682" t="s">
        <v>2311</v>
      </c>
      <c r="C1682" s="1">
        <v>46197</v>
      </c>
      <c r="D1682" s="5">
        <v>3.68</v>
      </c>
      <c r="E1682" t="s">
        <v>558</v>
      </c>
      <c r="F1682" t="s">
        <v>1049</v>
      </c>
      <c r="G1682" t="s">
        <v>264</v>
      </c>
      <c r="H1682" t="s">
        <v>3397</v>
      </c>
    </row>
    <row r="1683" spans="1:8" ht="15" customHeight="1" x14ac:dyDescent="0.25">
      <c r="A1683" t="s">
        <v>3398</v>
      </c>
      <c r="B1683" t="s">
        <v>3399</v>
      </c>
      <c r="C1683" s="1">
        <v>46197</v>
      </c>
      <c r="D1683" s="5">
        <v>38.520000000000003</v>
      </c>
      <c r="E1683" t="s">
        <v>558</v>
      </c>
      <c r="F1683" t="s">
        <v>1049</v>
      </c>
      <c r="G1683" t="s">
        <v>309</v>
      </c>
      <c r="H1683" t="s">
        <v>3400</v>
      </c>
    </row>
    <row r="1684" spans="1:8" ht="15" customHeight="1" x14ac:dyDescent="0.25">
      <c r="A1684" t="s">
        <v>2369</v>
      </c>
      <c r="B1684" t="s">
        <v>2370</v>
      </c>
      <c r="C1684" s="1">
        <v>46197</v>
      </c>
      <c r="D1684" s="5">
        <v>5.52</v>
      </c>
      <c r="E1684" t="s">
        <v>558</v>
      </c>
      <c r="F1684" t="s">
        <v>1049</v>
      </c>
      <c r="G1684" t="s">
        <v>124</v>
      </c>
      <c r="H1684" t="s">
        <v>3401</v>
      </c>
    </row>
    <row r="1685" spans="1:8" ht="15" customHeight="1" x14ac:dyDescent="0.25">
      <c r="A1685" t="s">
        <v>3402</v>
      </c>
      <c r="B1685" t="s">
        <v>3403</v>
      </c>
      <c r="C1685" s="1">
        <v>46197</v>
      </c>
      <c r="D1685" s="5">
        <v>89.64</v>
      </c>
      <c r="E1685" t="s">
        <v>558</v>
      </c>
      <c r="F1685" t="s">
        <v>1049</v>
      </c>
      <c r="G1685" t="s">
        <v>1502</v>
      </c>
      <c r="H1685" t="s">
        <v>3404</v>
      </c>
    </row>
    <row r="1686" spans="1:8" ht="15" customHeight="1" x14ac:dyDescent="0.25">
      <c r="A1686" t="s">
        <v>1295</v>
      </c>
      <c r="B1686" t="s">
        <v>1296</v>
      </c>
      <c r="C1686" s="1">
        <v>46197</v>
      </c>
      <c r="D1686" s="5">
        <v>3.86</v>
      </c>
      <c r="E1686" t="s">
        <v>558</v>
      </c>
      <c r="F1686" t="s">
        <v>1049</v>
      </c>
      <c r="G1686" t="s">
        <v>1689</v>
      </c>
      <c r="H1686" t="s">
        <v>3405</v>
      </c>
    </row>
    <row r="1687" spans="1:8" ht="15" customHeight="1" x14ac:dyDescent="0.25">
      <c r="A1687" t="s">
        <v>171</v>
      </c>
      <c r="B1687" t="s">
        <v>172</v>
      </c>
      <c r="C1687" s="1">
        <v>46197</v>
      </c>
      <c r="D1687" s="5">
        <v>3.86</v>
      </c>
      <c r="E1687" t="s">
        <v>558</v>
      </c>
      <c r="F1687" t="s">
        <v>1049</v>
      </c>
      <c r="G1687" t="s">
        <v>148</v>
      </c>
      <c r="H1687" t="s">
        <v>3406</v>
      </c>
    </row>
    <row r="1688" spans="1:8" ht="15" customHeight="1" x14ac:dyDescent="0.25">
      <c r="A1688" t="s">
        <v>146</v>
      </c>
      <c r="B1688" t="s">
        <v>147</v>
      </c>
      <c r="C1688" s="1">
        <v>46197</v>
      </c>
      <c r="D1688" s="5">
        <v>3.86</v>
      </c>
      <c r="E1688" t="s">
        <v>558</v>
      </c>
      <c r="F1688" t="s">
        <v>1049</v>
      </c>
      <c r="G1688" t="s">
        <v>148</v>
      </c>
      <c r="H1688" t="s">
        <v>3407</v>
      </c>
    </row>
    <row r="1689" spans="1:8" ht="15" customHeight="1" x14ac:dyDescent="0.25">
      <c r="A1689" t="s">
        <v>3408</v>
      </c>
      <c r="B1689" t="s">
        <v>3409</v>
      </c>
      <c r="C1689" s="1">
        <v>46197</v>
      </c>
      <c r="D1689" s="5">
        <v>47.31</v>
      </c>
      <c r="E1689" t="s">
        <v>558</v>
      </c>
      <c r="F1689" t="s">
        <v>1049</v>
      </c>
      <c r="G1689" t="s">
        <v>135</v>
      </c>
      <c r="H1689" t="s">
        <v>3410</v>
      </c>
    </row>
    <row r="1690" spans="1:8" ht="15" customHeight="1" x14ac:dyDescent="0.25">
      <c r="A1690" t="s">
        <v>3411</v>
      </c>
      <c r="B1690" t="s">
        <v>3412</v>
      </c>
      <c r="C1690" s="1">
        <v>46197</v>
      </c>
      <c r="D1690" s="5">
        <v>69.599999999999994</v>
      </c>
      <c r="E1690" t="s">
        <v>558</v>
      </c>
      <c r="F1690" t="s">
        <v>1049</v>
      </c>
      <c r="G1690" t="s">
        <v>117</v>
      </c>
      <c r="H1690" t="s">
        <v>3413</v>
      </c>
    </row>
    <row r="1691" spans="1:8" ht="15" customHeight="1" x14ac:dyDescent="0.25">
      <c r="A1691" t="s">
        <v>3414</v>
      </c>
      <c r="B1691" t="s">
        <v>3415</v>
      </c>
      <c r="C1691" s="1">
        <v>46197</v>
      </c>
      <c r="D1691" s="5">
        <v>3.68</v>
      </c>
      <c r="E1691" t="s">
        <v>558</v>
      </c>
      <c r="F1691" t="s">
        <v>1049</v>
      </c>
      <c r="G1691" t="s">
        <v>264</v>
      </c>
      <c r="H1691" t="s">
        <v>3416</v>
      </c>
    </row>
  </sheetData>
  <autoFilter ref="A1:H1691" xr:uid="{26485227-410F-4D0C-A031-FE20CF984EB6}"/>
  <dataValidations count="4">
    <dataValidation type="date" allowBlank="1" showInputMessage="1" showErrorMessage="1" sqref="B373 C1:C1048576" xr:uid="{C041F864-B091-46CE-933A-99B566055C51}">
      <formula1>46023</formula1>
      <formula2>46387</formula2>
    </dataValidation>
    <dataValidation allowBlank="1" showInputMessage="1" showErrorMessage="1" sqref="G1662:G1048576 G1337:G1660 G1:G1334" xr:uid="{42B986C8-6B6D-4A18-A137-79E6F3E83492}"/>
    <dataValidation type="list" allowBlank="1" showInputMessage="1" showErrorMessage="1" sqref="F1:F1048576" xr:uid="{FA643E69-26A9-4E1E-99A5-2F4959B822B5}">
      <formula1>"CRÉDITO, DÉBITO"</formula1>
    </dataValidation>
    <dataValidation type="list" allowBlank="1" showInputMessage="1" showErrorMessage="1" sqref="E1:E1048576" xr:uid="{F15CE3F3-198F-462B-A8BF-FC0FF17FCC2C}">
      <formula1>"REEMBOLSO AGREGADO, REEMBOLSO GERENCIADORA DE RISCO"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B834-40A2-40A5-A800-FDF92020BDBF}">
  <dimension ref="A1"/>
  <sheetViews>
    <sheetView workbookViewId="0">
      <selection activeCell="J14" sqref="J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Seguradoras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Giovani Santos</dc:creator>
  <cp:keywords/>
  <dc:description/>
  <cp:lastModifiedBy>Giovani Gaspar dos Santos Marcondes</cp:lastModifiedBy>
  <cp:revision/>
  <dcterms:created xsi:type="dcterms:W3CDTF">2026-06-23T18:21:12Z</dcterms:created>
  <dcterms:modified xsi:type="dcterms:W3CDTF">2026-06-24T17:30:47Z</dcterms:modified>
  <cp:category/>
  <cp:contentStatus/>
</cp:coreProperties>
</file>